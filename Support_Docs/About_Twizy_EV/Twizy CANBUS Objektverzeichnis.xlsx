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kte" sheetId="1" r:id="rId3"/>
    <sheet state="visible" name="BMS-Replay" sheetId="2" r:id="rId4"/>
    <sheet state="visible" name="Ladeprotokoll" sheetId="3" r:id="rId5"/>
    <sheet state="visible" name="0627" sheetId="4" r:id="rId6"/>
    <sheet state="visible" name="0155" sheetId="5" r:id="rId7"/>
    <sheet state="visible" name="0597" sheetId="6" r:id="rId8"/>
  </sheets>
  <definedNames/>
  <calcPr/>
</workbook>
</file>

<file path=xl/sharedStrings.xml><?xml version="1.0" encoding="utf-8"?>
<sst xmlns="http://schemas.openxmlformats.org/spreadsheetml/2006/main" count="731" uniqueCount="325">
  <si>
    <t>ID</t>
  </si>
  <si>
    <t>Periode</t>
  </si>
  <si>
    <t>Drv/Chg</t>
  </si>
  <si>
    <t>Quelle</t>
  </si>
  <si>
    <t>Objektname</t>
  </si>
  <si>
    <t>Länge</t>
  </si>
  <si>
    <t>Byte(s)</t>
  </si>
  <si>
    <t>Bedeutung</t>
  </si>
  <si>
    <t>Werte</t>
  </si>
  <si>
    <t>Bestätigt?</t>
  </si>
  <si>
    <t>0080</t>
  </si>
  <si>
    <t>D</t>
  </si>
  <si>
    <t>CON</t>
  </si>
  <si>
    <t>Sync</t>
  </si>
  <si>
    <t>0</t>
  </si>
  <si>
    <t>-</t>
  </si>
  <si>
    <t>Master Datenanforderung / Bus-Timer</t>
  </si>
  <si>
    <t>x</t>
  </si>
  <si>
    <t>0081</t>
  </si>
  <si>
    <t>Fehlercode</t>
  </si>
  <si>
    <t>4+5</t>
  </si>
  <si>
    <t>SEVCON-Fehlermeldung</t>
  </si>
  <si>
    <r>
      <rPr>
        <color rgb="FF000000"/>
        <sz val="10.0"/>
      </rPr>
      <t xml:space="preserve">B5=High, B4=Low-Byte, B2+3 = Zusatzdaten?, B6+7+8 = Zusatzdaten?
bspw. wenn Fahrstufentaste D/N/R gedrückt und losgelassen wird, ohne das der Twizy auf Go steht:
- 00 10 01 </t>
    </r>
    <r>
      <rPr>
        <b/>
        <color rgb="FF000000"/>
        <sz val="10.0"/>
      </rPr>
      <t>8E 48</t>
    </r>
    <r>
      <rPr>
        <color rgb="FF000000"/>
        <sz val="10.0"/>
      </rPr>
      <t xml:space="preserve"> 00 00 00 = Code 0x488E = Mom dir (Request)
- 00 00 00 </t>
    </r>
    <r>
      <rPr>
        <b/>
        <color rgb="FF000000"/>
        <sz val="10.0"/>
      </rPr>
      <t>8E 48</t>
    </r>
    <r>
      <rPr>
        <color rgb="FF000000"/>
        <sz val="10.0"/>
      </rPr>
      <t xml:space="preserve"> 00 00 08 = ... Fehler
oder
- 00 50 40 </t>
    </r>
    <r>
      <rPr>
        <b/>
        <color rgb="FF000000"/>
        <sz val="10.0"/>
      </rPr>
      <t>02 51</t>
    </r>
    <r>
      <rPr>
        <color rgb="FF000000"/>
        <sz val="10.0"/>
      </rPr>
      <t xml:space="preserve"> 03 03 00 = Code 0x5102 = Line Contactor welded (Schütz-Fehler)</t>
    </r>
  </si>
  <si>
    <t>0155</t>
  </si>
  <si>
    <t>D+C</t>
  </si>
  <si>
    <t>BMS</t>
  </si>
  <si>
    <t>BMS 1</t>
  </si>
  <si>
    <t>8</t>
  </si>
  <si>
    <t>1</t>
  </si>
  <si>
    <t>Ladeleistungs-Steuerung (BMS→CHG)</t>
  </si>
  <si>
    <t>in Stufen 7..0, mit Ladeleistung = Stufe * 300 W bzw. Ladestrom = Stufe * 5 A (jeweils am Akku)
(Stufe 0 bei 100% SOC, nach Abschaltung des Ladestroms wieder Stufe 1)</t>
  </si>
  <si>
    <t>2+3</t>
  </si>
  <si>
    <t>Strom am Traktionsakku</t>
  </si>
  <si>
    <t>untere 12 Bit: 7D0h = 2000d Nullpunkt, Abweichung * 16 = ca. Leistung [W], negativ=Entnahme
Strom-Interpretation: Abweichung / 4 = Strom [A]
obere 4 Bit: Ladegerät-Handshake (9→A→9) parallel zu 3MW</t>
  </si>
  <si>
    <t>4</t>
  </si>
  <si>
    <t>Phase</t>
  </si>
  <si>
    <t>94h = Init/Exit-Phase = Daten ungültig // 54h = Daten gültig</t>
  </si>
  <si>
    <t>5+6</t>
  </si>
  <si>
    <t>Ladezustand SOC</t>
  </si>
  <si>
    <t>SOC% = Dezimalwert / 400; nur die oberen 13 Bit werden verwendet; Ladeschluss = 9C40h</t>
  </si>
  <si>
    <t>7</t>
  </si>
  <si>
    <t>?</t>
  </si>
  <si>
    <t>Fix 0 ?</t>
  </si>
  <si>
    <t>? Bereich 5Fh - 73h</t>
  </si>
  <si>
    <t>0196</t>
  </si>
  <si>
    <t>Energiestatus 2</t>
  </si>
  <si>
    <t>Leistungsanforderung? Drehmoment? Schlupf?</t>
  </si>
  <si>
    <t>8 Bit B4 + 1 Bit B5: Ruhewert 254, aktuelle Leistungsanforderung [W] = Abweichung * 250, negativ = Bremsen/Rückw.</t>
  </si>
  <si>
    <t>Temperatur Motor</t>
  </si>
  <si>
    <t>Temperatur in °C = Wert - 40</t>
  </si>
  <si>
    <t>019F</t>
  </si>
  <si>
    <t>Energiestatus 3</t>
  </si>
  <si>
    <t>Fix FFh ?</t>
  </si>
  <si>
    <t>2</t>
  </si>
  <si>
    <t>3+4</t>
  </si>
  <si>
    <t>Geschwindigkeit (+/-)</t>
  </si>
  <si>
    <t>8 Bit B3 + 4 Bit B4: Ruhewert 7D0h=2000, rpm=(Wert-2000)*10, kph=rpm/7250*80 (T80)</t>
  </si>
  <si>
    <t>5</t>
  </si>
  <si>
    <t>j</t>
  </si>
  <si>
    <t>Fix 38h ?</t>
  </si>
  <si>
    <t>6</t>
  </si>
  <si>
    <t>Fix 40h ?</t>
  </si>
  <si>
    <t>Fix FEh?</t>
  </si>
  <si>
    <t>0423</t>
  </si>
  <si>
    <t>CHG</t>
  </si>
  <si>
    <t>03h = ON, 00h = OFF</t>
  </si>
  <si>
    <t>7+8</t>
  </si>
  <si>
    <t>steigt nach dem Einschalten auf 00E0 o.ä. an und bleibt dann rel. konstant</t>
  </si>
  <si>
    <t>0424</t>
  </si>
  <si>
    <t>BMS 2</t>
  </si>
  <si>
    <t>Ladeprotokoll BMS→CHG</t>
  </si>
  <si>
    <t>1xh = siehe Blatt "Ladeprotokoll" / 9xh = Fehler im Akku</t>
  </si>
  <si>
    <t>Maximale Reku-Leistung (BMS→CON)</t>
  </si>
  <si>
    <t>Aktuelle maximale Rekuperations-Leistung [W] = Wert * 500 (Ladeleistung s. 155_1 / Blatt "Ladeprotokoll")</t>
  </si>
  <si>
    <t>Maximale Fahr-Leistung (BMS→CON)</t>
  </si>
  <si>
    <t>Aktuelle maximale Entlade-Leistung [W] = Wert * 500</t>
  </si>
  <si>
    <t>? Temperatur</t>
  </si>
  <si>
    <t>Bereich 32h - 47h (-1 / -2 Diff. zu B8) -- vermutlich Zellen-Temp.-Minimum</t>
  </si>
  <si>
    <t>Akku-Zustand (SOH)</t>
  </si>
  <si>
    <t>in Prozent</t>
  </si>
  <si>
    <t>Fix 00h ?</t>
  </si>
  <si>
    <t>Bereich 32h - 47h (+1 / +2 Diff. zu B5) -- vermutlich Zellen-Temp.-Maximum</t>
  </si>
  <si>
    <t>0425</t>
  </si>
  <si>
    <t>BMS 3</t>
  </si>
  <si>
    <t>siehe Blatt "Ladeprotokoll"</t>
  </si>
  <si>
    <t>Verfügbare Energie im Akku</t>
  </si>
  <si>
    <t>Energiemenge in 1/10 kWh, bezieht Akkualterung ein</t>
  </si>
  <si>
    <t>5-6</t>
  </si>
  <si>
    <t>Spannung</t>
  </si>
  <si>
    <t>Wert = Bits 9..1 &gt;&gt; 1 -- bspw. 310 bei 57,5V -- Umrechnung?</t>
  </si>
  <si>
    <t>7-8</t>
  </si>
  <si>
    <t>Wert = Bits 8..0 -- bspw. 310 bei 57,5V -- Umrechnung?</t>
  </si>
  <si>
    <t>0426</t>
  </si>
  <si>
    <t>Fahrdaten 4</t>
  </si>
  <si>
    <t>4-6</t>
  </si>
  <si>
    <t>Odometer</t>
  </si>
  <si>
    <t>km-Stand = Wert direkt [warum vom Ladegerät?]</t>
  </si>
  <si>
    <t>0436</t>
  </si>
  <si>
    <t>DSP</t>
  </si>
  <si>
    <t>Uhr</t>
  </si>
  <si>
    <t>1-4</t>
  </si>
  <si>
    <t>Minutenzähler</t>
  </si>
  <si>
    <t>Anzahl Minuten seit die Uhr Strom hat</t>
  </si>
  <si>
    <t>0554</t>
  </si>
  <si>
    <t>Zellentemperaturen</t>
  </si>
  <si>
    <t>1-7</t>
  </si>
  <si>
    <t>Temperaturen Zellmodule 1-7</t>
  </si>
  <si>
    <t>0556</t>
  </si>
  <si>
    <t>Zellenmonitor 1</t>
  </si>
  <si>
    <t>1-8</t>
  </si>
  <si>
    <t>Modulspannungen 1-5</t>
  </si>
  <si>
    <t>12-Bit-Werte, Spannung [V] = Dezimalwert / 200</t>
  </si>
  <si>
    <t>0557</t>
  </si>
  <si>
    <t>Zellenmonitor 2</t>
  </si>
  <si>
    <t>Modulspannungen 6-10</t>
  </si>
  <si>
    <t>055E</t>
  </si>
  <si>
    <t>Zellenmonitor 3</t>
  </si>
  <si>
    <t>1-6</t>
  </si>
  <si>
    <t>Modulspannungen 11-14</t>
  </si>
  <si>
    <t>Akku-Kilometerstand</t>
  </si>
  <si>
    <t>in 10km, bspw. 0C1Ch = 3100 = 31.000 km</t>
  </si>
  <si>
    <t>055F</t>
  </si>
  <si>
    <t>Zellenmonitor 4</t>
  </si>
  <si>
    <t>6-8</t>
  </si>
  <si>
    <t>Gesamtspannungen</t>
  </si>
  <si>
    <t>Zwei separate Gesamtspannungen (12 Bit), Spannung [V] = Dezimalwert / 10</t>
  </si>
  <si>
    <t>0597</t>
  </si>
  <si>
    <t>12V-Netz</t>
  </si>
  <si>
    <t>Netzstatus</t>
  </si>
  <si>
    <t>siehe Blatt 0597</t>
  </si>
  <si>
    <t>Status-Flags</t>
  </si>
  <si>
    <t>3</t>
  </si>
  <si>
    <t>Strom DC/DC-Wandler</t>
  </si>
  <si>
    <t>Ruhewert 05, GO: 07, Standlicht 18, Abblendlicht 40, Fernlicht 45, Scheibenheizung 2B, Rückfahrleuchte 15
12V-Ladung=03 =&gt; Annahme: Wert in 1/5 A</t>
  </si>
  <si>
    <t>Ladeprotokoll CHG→BMS</t>
  </si>
  <si>
    <t>Init=A1/A2/C1; ON=41h; OFF=&gt;D1h; Laden=B1; Bereitschaft/12V-Erhaltung=91
siehe Blatt "Ladeprotokoll"</t>
  </si>
  <si>
    <t>? Flags/Version?</t>
  </si>
  <si>
    <t>Fix 29h ? nein, aktuell 2Fh (neuer Lader)</t>
  </si>
  <si>
    <t>Fix 1 ?</t>
  </si>
  <si>
    <t>Temperatur Ladegerät</t>
  </si>
  <si>
    <t>0599</t>
  </si>
  <si>
    <t>Fahrdaten 1</t>
  </si>
  <si>
    <t>km-Stand = Wert direkt</t>
  </si>
  <si>
    <t>Restreichweite</t>
  </si>
  <si>
    <t>in km (dezimal)</t>
  </si>
  <si>
    <t>Geschwindigkeit (absolut)</t>
  </si>
  <si>
    <t>Ruhewert 0000h .. Vmax 1FB2h = 8114 = 81,14 km/h (bei Anzeige 84 km/h) (Achtung: 0xFFFF = ungültig)</t>
  </si>
  <si>
    <t>059B</t>
  </si>
  <si>
    <t>Antriebstatus 1</t>
  </si>
  <si>
    <t>Gangwahl</t>
  </si>
  <si>
    <t>80h=D / 20h=N / 08h=R</t>
  </si>
  <si>
    <t>Bremspedal / Bremsleuchte + Motorstatus</t>
  </si>
  <si>
    <t>Bit 0 (0x01) = Bremspedal/leuchte // Bits 2+3 (0x0C) = Motor/Controller an ("gezündet")</t>
  </si>
  <si>
    <t>Leistung / Drehmoment (?)</t>
  </si>
  <si>
    <t>100="Null" / &gt;100=Abgabe / &lt;100=Rekuperation; Bereich 88...163 (?)</t>
  </si>
  <si>
    <t>Strompedalstellung</t>
  </si>
  <si>
    <t>00h=Stop … FDh=Max</t>
  </si>
  <si>
    <t>oberes Nibble: 4=Bremse inaktiv / 6=aktiv // unteres Nibble: 0=Motor/Controller aus 4=an, 8=Fehler</t>
  </si>
  <si>
    <t>Spannung Kondensator</t>
  </si>
  <si>
    <t>Spannung [V] = Wert / 2</t>
  </si>
  <si>
    <t>Fix 90h = 144 ?</t>
  </si>
  <si>
    <t>059E</t>
  </si>
  <si>
    <t>Fahrdaten 3</t>
  </si>
  <si>
    <t>1+2</t>
  </si>
  <si>
    <t>Streckenzähler</t>
  </si>
  <si>
    <t>zyklischer Wegzähler in 1/10 m bspw. Wert 4605 = 460,5 m, NICHT Tripzähler!</t>
  </si>
  <si>
    <t>Temperatur PEM (Controller)</t>
  </si>
  <si>
    <t>05D7</t>
  </si>
  <si>
    <t>Fahrdaten 2</t>
  </si>
  <si>
    <t>Geschwindigkeit (exakt)</t>
  </si>
  <si>
    <t>Ruhewert 0000h .. Vmax 1FB2h = 8114 = 81,14 km/h (bei Anzeige 84 km/h)</t>
  </si>
  <si>
    <t>3-6</t>
  </si>
  <si>
    <t>km-Stand = Wert / 1600</t>
  </si>
  <si>
    <t>0627</t>
  </si>
  <si>
    <t>1-3</t>
  </si>
  <si>
    <t>? Statusmeldung CHG?</t>
  </si>
  <si>
    <t>Fix 00 00 00 wenn BMS online (siehe Tab "0627")</t>
  </si>
  <si>
    <t>0628</t>
  </si>
  <si>
    <t>? Statusmeldung BMS?</t>
  </si>
  <si>
    <t>Fix 00 00 00 -- bleibt aus wenn BMS offline</t>
  </si>
  <si>
    <t>0629</t>
  </si>
  <si>
    <t>? Statusmeldung CON?</t>
  </si>
  <si>
    <t>Fix 00 00 00 -- beginnt erst mit 59B/59E, also wenn Controller betriebsbereit -- bleibt aus wenn BMS offline</t>
  </si>
  <si>
    <t>0659</t>
  </si>
  <si>
    <t>Fix FF FF FF FF -- TODO: prüfen ob anders bei PREOP-Modus aktiv -- bleibt aus wenn BMS offline</t>
  </si>
  <si>
    <t>069F</t>
  </si>
  <si>
    <t>VIN</t>
  </si>
  <si>
    <t>Seriennummer</t>
  </si>
  <si>
    <t>fix F im ersten Nibble, weitere Nibbles = letzte 7 Ziffern der VIN rückwärts</t>
  </si>
  <si>
    <t>0701</t>
  </si>
  <si>
    <t>Op/PreOp-Modus</t>
  </si>
  <si>
    <t>SEVCON Pre/Op-Statusmeldung</t>
  </si>
  <si>
    <t>Init = 00, danach 05=OP / 7F=PREOP -- bleibt aus wenn BMS offline</t>
  </si>
  <si>
    <t>Replay/Fake-Template BMS→CON</t>
  </si>
  <si>
    <t>Per Replay der folgenden Nachrichten kann der Twizy mit einem Fremd-Akku bewegt werden.
Die Daten im Template können dynamisch bspw. aus einem eigenen BMS generiert werden.
Eine Nachbildung eines Initialisierungs-Prozesses ist nicht notwendig, aber die Stecker-Verriegelungssignale müssen vorhanden sein (s. Schaltplan).</t>
  </si>
  <si>
    <t>Daten</t>
  </si>
  <si>
    <r>
      <rPr>
        <rFont val="Roboto Mono"/>
      </rPr>
      <t>07 9</t>
    </r>
    <r>
      <rPr>
        <rFont val="Roboto Mono"/>
        <color rgb="FF9900FF"/>
      </rPr>
      <t>7 CA</t>
    </r>
    <r>
      <rPr>
        <rFont val="Roboto Mono"/>
      </rPr>
      <t xml:space="preserve"> </t>
    </r>
    <r>
      <rPr>
        <rFont val="Roboto Mono"/>
        <color rgb="FFFF0000"/>
      </rPr>
      <t>54</t>
    </r>
    <r>
      <rPr>
        <rFont val="Roboto Mono"/>
      </rPr>
      <t xml:space="preserve"> </t>
    </r>
    <r>
      <rPr>
        <rFont val="Roboto Mono"/>
        <color rgb="FF38761D"/>
      </rPr>
      <t>52 30</t>
    </r>
    <r>
      <rPr>
        <rFont val="Roboto Mono"/>
      </rPr>
      <t xml:space="preserve"> 00 6C</t>
    </r>
  </si>
  <si>
    <t>Akkustrom:              7CA = -1,5 A
Phase:                  54 = Betrieb
Ladestand:              5230 = 52,6%</t>
  </si>
  <si>
    <r>
      <rPr>
        <rFont val="Roboto Mono"/>
      </rPr>
      <t xml:space="preserve">11 40 </t>
    </r>
    <r>
      <rPr>
        <rFont val="Roboto Mono"/>
        <color rgb="FF9900FF"/>
      </rPr>
      <t>10</t>
    </r>
    <r>
      <rPr>
        <rFont val="Roboto Mono"/>
      </rPr>
      <t xml:space="preserve"> </t>
    </r>
    <r>
      <rPr>
        <rFont val="Roboto Mono"/>
        <color rgb="FFFF0000"/>
      </rPr>
      <t>20</t>
    </r>
    <r>
      <rPr>
        <rFont val="Roboto Mono"/>
      </rPr>
      <t xml:space="preserve"> 39 63 00 3A</t>
    </r>
  </si>
  <si>
    <t>Ladeleistung:           10 = 8000 W
Entladeleistung:        20 = 16000 W
(Hinweis: irrelevant wenn BMS-Cheat angewendet wird)</t>
  </si>
  <si>
    <r>
      <rPr>
        <rFont val="Roboto Mono"/>
      </rPr>
      <t xml:space="preserve">2A 1F 44 FF </t>
    </r>
    <r>
      <rPr>
        <rFont val="Roboto Mono"/>
        <color rgb="FF9900FF"/>
      </rPr>
      <t>FE 42</t>
    </r>
    <r>
      <rPr>
        <rFont val="Roboto Mono"/>
      </rPr>
      <t xml:space="preserve"> </t>
    </r>
    <r>
      <rPr>
        <rFont val="Roboto Mono"/>
        <color rgb="FFFF0000"/>
      </rPr>
      <t>01 20</t>
    </r>
  </si>
  <si>
    <t>Spannung 1:             FE42 = 54,3 V
Spannung 2:             0120 = 54,3 V</t>
  </si>
  <si>
    <t>3A 3A 3A 3A 3A 3A 3A 00</t>
  </si>
  <si>
    <t>Modultemperaturen:      3A = 18 °C</t>
  </si>
  <si>
    <t>30 93 09 30 93 09 30 9A</t>
  </si>
  <si>
    <t xml:space="preserve">Zellspannungen:         309 = 3,885 V
Akku-Kmstand:           0CF9 = 33210 km
</t>
  </si>
  <si>
    <t>30 93 09 30 93 09 30 90</t>
  </si>
  <si>
    <t>55E</t>
  </si>
  <si>
    <r>
      <rPr>
        <rFont val="Roboto Mono"/>
      </rPr>
      <t xml:space="preserve">30 93 09 30 93 09 </t>
    </r>
    <r>
      <rPr>
        <rFont val="Roboto Mono"/>
        <color rgb="FFFF0000"/>
      </rPr>
      <t>0C F9</t>
    </r>
  </si>
  <si>
    <t>55F</t>
  </si>
  <si>
    <r>
      <rPr>
        <rFont val="Roboto Mono"/>
      </rPr>
      <t xml:space="preserve">FF FF 73 00 00 </t>
    </r>
    <r>
      <rPr>
        <rFont val="Roboto Mono"/>
        <color rgb="FF9900FF"/>
      </rPr>
      <t>21 F</t>
    </r>
    <r>
      <rPr>
        <rFont val="Roboto Mono"/>
        <color rgb="FFFF0000"/>
      </rPr>
      <t>2 1F</t>
    </r>
  </si>
  <si>
    <t>Packspannung 1+2:       21F = 54,3 V</t>
  </si>
  <si>
    <t>00 00 00</t>
  </si>
  <si>
    <t>Fehlerstatus:           000000 = alles ist gut</t>
  </si>
  <si>
    <t>FF FF FF FF</t>
  </si>
  <si>
    <t>Fehlerstatus:           FFFFFFFF = alles ist gut (?)</t>
  </si>
  <si>
    <t>Ladeprotokoll BMS←→CHG</t>
  </si>
  <si>
    <t>Durch Nachbildung des BMS-Parts im Ladeprotokoll kann ein Fremd-Akku mit dem Original-Ladegerät geladen werden und die Ladeleistung ggf. von einem Fremd-BMS gesteuert werden. Das Timing der IDs (siehe Blatt 1) muss sehr genau eingehalten werden. Außerdem müssen auf Hardwareseite die Stecker-Verriegelungen gefaket sein (s. Schaltplan), und 3MW muss nach dem CAN-Handshake auf HIGH geschaltet werden.</t>
  </si>
  <si>
    <t>CHG→BMS</t>
  </si>
  <si>
    <t>BMS→CHG</t>
  </si>
  <si>
    <t>597_4</t>
  </si>
  <si>
    <t>423_1</t>
  </si>
  <si>
    <t>424_1</t>
  </si>
  <si>
    <t>425_1</t>
  </si>
  <si>
    <t>155_1</t>
  </si>
  <si>
    <t>A1</t>
  </si>
  <si>
    <t>CHG: Wakeup</t>
  </si>
  <si>
    <t>03</t>
  </si>
  <si>
    <t>CHG→BMS: ON</t>
  </si>
  <si>
    <t>00</t>
  </si>
  <si>
    <t>1D</t>
  </si>
  <si>
    <t>BMS: Init</t>
  </si>
  <si>
    <t>A2</t>
  </si>
  <si>
    <t>CHG: Init</t>
  </si>
  <si>
    <t>24</t>
  </si>
  <si>
    <t>BMS: bereit</t>
  </si>
  <si>
    <t>B1</t>
  </si>
  <si>
    <t>CHG: Ladung starten</t>
  </si>
  <si>
    <t>0A</t>
  </si>
  <si>
    <t>BMS: ...OK</t>
  </si>
  <si>
    <t>07</t>
  </si>
  <si>
    <t>BMS: Ladeleistung 2.100 W</t>
  </si>
  <si>
    <t>...</t>
  </si>
  <si>
    <t>01</t>
  </si>
  <si>
    <t>BMS: Ladeleistung 300 W</t>
  </si>
  <si>
    <t>BMS: Ladeleistung 0 W (SOC 100%)</t>
  </si>
  <si>
    <t>BMS: Ladung beenden</t>
  </si>
  <si>
    <t>D1</t>
  </si>
  <si>
    <t>CHG: Ladung beenden</t>
  </si>
  <si>
    <t>CHG→BMS: OFF</t>
  </si>
  <si>
    <t>CAN-Objekt 0627: Fehlermeldung wenn BMS offline</t>
  </si>
  <si>
    <t>Standardfall:</t>
  </si>
  <si>
    <t>BMS offline:</t>
  </si>
  <si>
    <t>1. Start mit</t>
  </si>
  <si>
    <t>2. Zyklus-Init</t>
  </si>
  <si>
    <t>42 26 40</t>
  </si>
  <si>
    <t>43 22 40</t>
  </si>
  <si>
    <t>44 21 40</t>
  </si>
  <si>
    <t>3. Zyklus (12x):</t>
  </si>
  <si>
    <t>45 26 40</t>
  </si>
  <si>
    <t>42 22 40</t>
  </si>
  <si>
    <t>4. Final (statisch):</t>
  </si>
  <si>
    <t>CAN-Objekt 0155 (BMS-Status): Byte 2+3</t>
  </si>
  <si>
    <t>Beispiele für dem Traktionsakku entnommenem / zugeführtem Strom:</t>
  </si>
  <si>
    <t>12 Bit:</t>
  </si>
  <si>
    <t>Dezimal</t>
  </si>
  <si>
    <t>Diff</t>
  </si>
  <si>
    <t>Strom [A]</t>
  </si>
  <si>
    <t>Nullpunkt</t>
  </si>
  <si>
    <t>7D0</t>
  </si>
  <si>
    <t>Leerlauf bei 66% SOC</t>
  </si>
  <si>
    <t>7CC</t>
  </si>
  <si>
    <t>Laden bei 76% SOC</t>
  </si>
  <si>
    <t>85A</t>
  </si>
  <si>
    <t>Ladeende</t>
  </si>
  <si>
    <t>7CE</t>
  </si>
  <si>
    <t>Fahrt 6,93 km/h</t>
  </si>
  <si>
    <t>74E</t>
  </si>
  <si>
    <t>Fahrleistung normal</t>
  </si>
  <si>
    <t>49B</t>
  </si>
  <si>
    <t>Rekuperation normal</t>
  </si>
  <si>
    <t>83C</t>
  </si>
  <si>
    <t>Laden bei 93% SOC</t>
  </si>
  <si>
    <t>Laden bei 97% SOC</t>
  </si>
  <si>
    <t>Laden bei 98% SOC</t>
  </si>
  <si>
    <t>Laden bei 99% SOC</t>
  </si>
  <si>
    <t>Laden bei 99,x% SOC</t>
  </si>
  <si>
    <t>7F1</t>
  </si>
  <si>
    <t>Ladeschluss</t>
  </si>
  <si>
    <t>CAN-Objekt 0597 (Charger Status)</t>
  </si>
  <si>
    <t>Byte 1: Netz-Status</t>
  </si>
  <si>
    <t>Bit 6 (0x40)</t>
  </si>
  <si>
    <t>? (sporadisch während des Ladens an, evtl. Balancing / Ladepause?)</t>
  </si>
  <si>
    <t>Bit 5 (0x20)</t>
  </si>
  <si>
    <t>1 = am Stromnetz angeschlossen // 0 = nicht angeschlossen</t>
  </si>
  <si>
    <t>Byte 2: Status-Flags</t>
  </si>
  <si>
    <t>Bit 7 (0x80)</t>
  </si>
  <si>
    <t>immer 1</t>
  </si>
  <si>
    <t>1 = "Offline" // 0 = "Online": Bit 5 nur gültig wenn "online"!</t>
  </si>
  <si>
    <t>falls "online": 1 = Ladegerät aktiviert // 0 = nicht ladend</t>
  </si>
  <si>
    <t>Bit 4 (0x10)</t>
  </si>
  <si>
    <t>1 = Twizy "an" (Schlüsselschalter / "Zündung"), auch während des Ladens abfragbar</t>
  </si>
  <si>
    <t>Anmerkung: Statusflag für "Motor an" ist in 059B Byte 2</t>
  </si>
  <si>
    <t>Phasen:</t>
  </si>
  <si>
    <t>Einschalten: F &gt; 9</t>
  </si>
  <si>
    <t>Ausschalten: 9 &gt; 8 &gt; E</t>
  </si>
  <si>
    <t>Ladevorgang Start: E &gt; A</t>
  </si>
  <si>
    <t>Ladevorgang Ende: A &gt; E</t>
  </si>
  <si>
    <t>Ladevorgang Start bei eingeschaltet: 9 &gt; F &gt; B</t>
  </si>
  <si>
    <t>...Zündung aus: B &gt; A</t>
  </si>
  <si>
    <t>...Ladegerät aus: A &gt; E</t>
  </si>
  <si>
    <t>Bit 3 (0x08)</t>
  </si>
  <si>
    <t>immer 0 (?)</t>
  </si>
  <si>
    <t>Bit 2 (0x04)</t>
  </si>
  <si>
    <t>1 = Grundsystem aktiviert? (0 direkt nach Einschalten und direkt vor Ausschalten)</t>
  </si>
  <si>
    <t>Bit 1 (0x02)</t>
  </si>
  <si>
    <t>Bit 0 (0x01)</t>
  </si>
  <si>
    <t>Dashboard online? (1 folgt auf Bit 2=1, 0 geht Bit 2=0 voraus)</t>
  </si>
  <si>
    <t>Byte 4: Lade-Status</t>
  </si>
  <si>
    <t>Bit 7+6 (0xC0)</t>
  </si>
  <si>
    <t>negierter DC-Wandler-Status:
"11" = 0 = aus
"10" = 1 = 12V-Batterie laden/erhalten
"01" = 2 = 12V-Versorgung für Fahrzeug (Twizy an)</t>
  </si>
  <si>
    <t>Bit 5+4 (0x30)</t>
  </si>
  <si>
    <t>Ladegerät-Status:
0 = aus
1 = Bereitschaft
2 = Ladungsvorbereitung
3 = Ladung</t>
  </si>
  <si>
    <t>Bits 3-0 (0x0F)</t>
  </si>
  <si>
    <t>Slave-Status:
1 = Bereitschaft
2 = wartet auf Master (BMS)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</si>
</sst>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0.0"/>
      <color rgb="FF000000"/>
    </font>
    <font>
      <b/>
      <sz val="10.0"/>
    </font>
    <font>
      <sz val="10.0"/>
      <color rgb="FF000000"/>
    </font>
    <font/>
    <font>
      <sz val="10.0"/>
    </font>
    <font>
      <b/>
      <sz val="14.0"/>
    </font>
    <font>
      <name val="Roboto Mono"/>
    </font>
    <font>
      <b/>
    </font>
    <font>
      <color rgb="FF999999"/>
    </font>
    <font>
      <color rgb="FF999999"/>
      <name val="Roboto Mono"/>
    </font>
    <font>
      <b/>
      <sz val="12.0"/>
    </font>
    <font>
      <color rgb="FF783F04"/>
      <name val="Roboto Mono"/>
    </font>
    <font>
      <sz val="11.0"/>
      <name val="Roboto Mono"/>
    </font>
    <font>
      <color rgb="FF9900FF"/>
      <name val="Roboto Mono"/>
    </font>
    <font>
      <color rgb="FFCC0000"/>
      <name val="Roboto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bottom" wrapText="1"/>
    </xf>
    <xf quotePrefix="1"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wrapText="1"/>
    </xf>
    <xf quotePrefix="1" borderId="0" fillId="0" fontId="3" numFmtId="0" xfId="0" applyAlignment="1" applyFont="1">
      <alignment horizontal="center" readingOrder="0" shrinkToFit="0" vertical="center" wrapText="0"/>
    </xf>
    <xf quotePrefix="1"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0" fontId="7" numFmtId="0" xfId="0" applyAlignment="1" applyFont="1">
      <alignment horizontal="left" readingOrder="0" shrinkToFit="0" wrapText="1"/>
    </xf>
    <xf quotePrefix="1" borderId="0" fillId="0" fontId="7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quotePrefix="1"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10" numFmtId="0" xfId="0" applyAlignment="1" applyFont="1">
      <alignment horizontal="left" shrinkToFit="0" wrapText="1"/>
    </xf>
    <xf borderId="0" fillId="0" fontId="7" numFmtId="0" xfId="0" applyAlignment="1" applyFont="1">
      <alignment horizontal="left" shrinkToFit="0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4" numFmtId="2" xfId="0" applyAlignment="1" applyFont="1" applyNumberFormat="1">
      <alignment horizontal="center" shrinkToFit="0" vertical="bottom" wrapText="1"/>
    </xf>
    <xf borderId="0" fillId="0" fontId="4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left" shrinkToFit="0" vertical="bottom" wrapText="1"/>
    </xf>
    <xf borderId="0" fillId="0" fontId="4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6.75"/>
    <col customWidth="1" min="2" max="2" width="8.88"/>
    <col customWidth="1" min="3" max="3" width="9.13"/>
    <col customWidth="1" min="4" max="4" width="10.75"/>
    <col customWidth="1" min="5" max="5" width="16.38"/>
    <col customWidth="1" min="6" max="6" width="6.13"/>
    <col customWidth="1" min="7" max="7" width="7.13"/>
    <col customWidth="1" min="8" max="8" width="34.38"/>
    <col customWidth="1" min="9" max="9" width="87.5"/>
    <col customWidth="1" min="10" max="10" width="9.88"/>
  </cols>
  <sheetData>
    <row r="1" ht="12.0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4" t="s">
        <v>9</v>
      </c>
    </row>
    <row r="2" ht="12.0" customHeight="1">
      <c r="A2" s="5" t="s">
        <v>10</v>
      </c>
      <c r="B2" s="6">
        <v>20.0</v>
      </c>
      <c r="C2" s="7" t="s">
        <v>11</v>
      </c>
      <c r="D2" s="7" t="s">
        <v>12</v>
      </c>
      <c r="E2" s="8" t="s">
        <v>13</v>
      </c>
      <c r="F2" s="6" t="s">
        <v>14</v>
      </c>
      <c r="G2" s="6" t="s">
        <v>15</v>
      </c>
      <c r="H2" s="8" t="s">
        <v>16</v>
      </c>
      <c r="I2" s="8" t="s">
        <v>15</v>
      </c>
      <c r="J2" s="9" t="s">
        <v>17</v>
      </c>
    </row>
    <row r="3" ht="12.0" customHeight="1">
      <c r="A3" s="5" t="s">
        <v>18</v>
      </c>
      <c r="B3" s="6" t="s">
        <v>15</v>
      </c>
      <c r="C3" s="7" t="s">
        <v>11</v>
      </c>
      <c r="D3" s="7" t="s">
        <v>12</v>
      </c>
      <c r="E3" s="8" t="s">
        <v>19</v>
      </c>
      <c r="F3" s="6">
        <v>8.0</v>
      </c>
      <c r="G3" s="7" t="s">
        <v>20</v>
      </c>
      <c r="H3" s="10" t="s">
        <v>21</v>
      </c>
      <c r="I3" s="10" t="s">
        <v>22</v>
      </c>
      <c r="J3" s="11" t="s">
        <v>17</v>
      </c>
    </row>
    <row r="4" ht="12.0" customHeight="1">
      <c r="A4" s="5" t="s">
        <v>23</v>
      </c>
      <c r="B4" s="6">
        <v>10.0</v>
      </c>
      <c r="C4" s="7" t="s">
        <v>24</v>
      </c>
      <c r="D4" s="7" t="s">
        <v>25</v>
      </c>
      <c r="E4" s="10" t="s">
        <v>26</v>
      </c>
      <c r="F4" s="6" t="s">
        <v>27</v>
      </c>
      <c r="G4" s="6" t="s">
        <v>28</v>
      </c>
      <c r="H4" s="10" t="s">
        <v>29</v>
      </c>
      <c r="I4" s="10" t="s">
        <v>30</v>
      </c>
      <c r="J4" s="9" t="s">
        <v>17</v>
      </c>
    </row>
    <row r="5" ht="12.0" customHeight="1">
      <c r="A5" s="5" t="s">
        <v>23</v>
      </c>
      <c r="B5" s="6">
        <v>10.0</v>
      </c>
      <c r="C5" s="7" t="s">
        <v>24</v>
      </c>
      <c r="D5" s="7" t="s">
        <v>25</v>
      </c>
      <c r="E5" s="10" t="s">
        <v>26</v>
      </c>
      <c r="F5" s="6" t="s">
        <v>27</v>
      </c>
      <c r="G5" s="6" t="s">
        <v>31</v>
      </c>
      <c r="H5" s="10" t="s">
        <v>32</v>
      </c>
      <c r="I5" s="10" t="s">
        <v>33</v>
      </c>
      <c r="J5" s="12" t="s">
        <v>17</v>
      </c>
    </row>
    <row r="6" ht="12.0" customHeight="1">
      <c r="A6" s="5" t="s">
        <v>23</v>
      </c>
      <c r="B6" s="6">
        <v>10.0</v>
      </c>
      <c r="C6" s="7" t="s">
        <v>24</v>
      </c>
      <c r="D6" s="7" t="s">
        <v>25</v>
      </c>
      <c r="E6" s="10" t="s">
        <v>26</v>
      </c>
      <c r="F6" s="6" t="s">
        <v>27</v>
      </c>
      <c r="G6" s="6" t="s">
        <v>34</v>
      </c>
      <c r="H6" s="8" t="s">
        <v>35</v>
      </c>
      <c r="I6" s="8" t="s">
        <v>36</v>
      </c>
      <c r="J6" s="9" t="s">
        <v>17</v>
      </c>
    </row>
    <row r="7" ht="3.75" customHeight="1">
      <c r="A7" s="5" t="s">
        <v>23</v>
      </c>
      <c r="B7" s="6">
        <v>10.0</v>
      </c>
      <c r="C7" s="7" t="s">
        <v>24</v>
      </c>
      <c r="D7" s="7" t="s">
        <v>25</v>
      </c>
      <c r="E7" s="10" t="s">
        <v>26</v>
      </c>
      <c r="F7" s="6" t="s">
        <v>27</v>
      </c>
      <c r="G7" s="6" t="s">
        <v>37</v>
      </c>
      <c r="H7" s="13" t="s">
        <v>38</v>
      </c>
      <c r="I7" s="13" t="s">
        <v>39</v>
      </c>
      <c r="J7" s="11" t="s">
        <v>17</v>
      </c>
    </row>
    <row r="8" ht="12.0" customHeight="1">
      <c r="A8" s="5" t="s">
        <v>23</v>
      </c>
      <c r="B8" s="6">
        <v>10.0</v>
      </c>
      <c r="C8" s="7" t="s">
        <v>24</v>
      </c>
      <c r="D8" s="7" t="s">
        <v>25</v>
      </c>
      <c r="E8" s="10" t="s">
        <v>26</v>
      </c>
      <c r="F8" s="6" t="s">
        <v>27</v>
      </c>
      <c r="G8" s="6" t="s">
        <v>40</v>
      </c>
      <c r="H8" s="8" t="s">
        <v>41</v>
      </c>
      <c r="I8" s="8" t="s">
        <v>42</v>
      </c>
      <c r="J8" s="14"/>
    </row>
    <row r="9" ht="12.0" customHeight="1">
      <c r="A9" s="5" t="s">
        <v>23</v>
      </c>
      <c r="B9" s="6">
        <v>10.0</v>
      </c>
      <c r="C9" s="7" t="s">
        <v>24</v>
      </c>
      <c r="D9" s="7" t="s">
        <v>25</v>
      </c>
      <c r="E9" s="10" t="s">
        <v>26</v>
      </c>
      <c r="F9" s="6" t="s">
        <v>27</v>
      </c>
      <c r="G9" s="6" t="s">
        <v>27</v>
      </c>
      <c r="H9" s="8" t="s">
        <v>41</v>
      </c>
      <c r="I9" s="10" t="s">
        <v>43</v>
      </c>
      <c r="J9" s="14"/>
    </row>
    <row r="10" ht="12.0" customHeight="1">
      <c r="A10" s="5" t="s">
        <v>44</v>
      </c>
      <c r="B10" s="6">
        <v>10.0</v>
      </c>
      <c r="C10" s="7" t="s">
        <v>11</v>
      </c>
      <c r="D10" s="7" t="s">
        <v>12</v>
      </c>
      <c r="E10" s="8" t="s">
        <v>45</v>
      </c>
      <c r="F10" s="6" t="s">
        <v>27</v>
      </c>
      <c r="G10" s="6" t="s">
        <v>20</v>
      </c>
      <c r="H10" s="10" t="s">
        <v>46</v>
      </c>
      <c r="I10" s="10" t="s">
        <v>47</v>
      </c>
      <c r="J10" s="15" t="s">
        <v>41</v>
      </c>
    </row>
    <row r="11" ht="12.0" customHeight="1">
      <c r="A11" s="5" t="s">
        <v>44</v>
      </c>
      <c r="B11" s="6">
        <v>10.0</v>
      </c>
      <c r="C11" s="7" t="s">
        <v>11</v>
      </c>
      <c r="D11" s="7" t="s">
        <v>12</v>
      </c>
      <c r="E11" s="8" t="s">
        <v>45</v>
      </c>
      <c r="F11" s="6" t="s">
        <v>27</v>
      </c>
      <c r="G11" s="6">
        <v>6.0</v>
      </c>
      <c r="H11" s="8" t="s">
        <v>48</v>
      </c>
      <c r="I11" s="8" t="s">
        <v>49</v>
      </c>
      <c r="J11" s="9" t="s">
        <v>17</v>
      </c>
    </row>
    <row r="12" ht="12.0" customHeight="1">
      <c r="A12" s="8" t="s">
        <v>50</v>
      </c>
      <c r="B12" s="6">
        <v>10.0</v>
      </c>
      <c r="C12" s="7" t="s">
        <v>11</v>
      </c>
      <c r="D12" s="7" t="s">
        <v>12</v>
      </c>
      <c r="E12" s="8" t="s">
        <v>51</v>
      </c>
      <c r="F12" s="6" t="s">
        <v>27</v>
      </c>
      <c r="G12" s="6" t="s">
        <v>28</v>
      </c>
      <c r="H12" s="8" t="s">
        <v>41</v>
      </c>
      <c r="I12" s="8" t="s">
        <v>52</v>
      </c>
      <c r="J12" s="14"/>
    </row>
    <row r="13" ht="12.0" customHeight="1">
      <c r="A13" s="8" t="s">
        <v>50</v>
      </c>
      <c r="B13" s="6">
        <v>10.0</v>
      </c>
      <c r="C13" s="7" t="s">
        <v>11</v>
      </c>
      <c r="D13" s="7" t="s">
        <v>12</v>
      </c>
      <c r="E13" s="8" t="s">
        <v>51</v>
      </c>
      <c r="F13" s="6" t="s">
        <v>27</v>
      </c>
      <c r="G13" s="6" t="s">
        <v>53</v>
      </c>
      <c r="H13" s="8" t="s">
        <v>41</v>
      </c>
      <c r="I13" s="8" t="s">
        <v>52</v>
      </c>
      <c r="J13" s="14"/>
    </row>
    <row r="14" ht="12.0" customHeight="1">
      <c r="A14" s="8" t="s">
        <v>50</v>
      </c>
      <c r="B14" s="6">
        <v>10.0</v>
      </c>
      <c r="C14" s="7" t="s">
        <v>11</v>
      </c>
      <c r="D14" s="7" t="s">
        <v>12</v>
      </c>
      <c r="E14" s="8" t="s">
        <v>51</v>
      </c>
      <c r="F14" s="6" t="s">
        <v>27</v>
      </c>
      <c r="G14" s="6" t="s">
        <v>54</v>
      </c>
      <c r="H14" s="8" t="s">
        <v>55</v>
      </c>
      <c r="I14" s="8" t="s">
        <v>56</v>
      </c>
      <c r="J14" s="16" t="s">
        <v>17</v>
      </c>
    </row>
    <row r="15" ht="12.0" customHeight="1">
      <c r="A15" s="8" t="s">
        <v>50</v>
      </c>
      <c r="B15" s="6">
        <v>10.0</v>
      </c>
      <c r="C15" s="7" t="s">
        <v>11</v>
      </c>
      <c r="D15" s="7" t="s">
        <v>12</v>
      </c>
      <c r="E15" s="8" t="s">
        <v>51</v>
      </c>
      <c r="F15" s="6" t="s">
        <v>27</v>
      </c>
      <c r="G15" s="6" t="s">
        <v>57</v>
      </c>
      <c r="H15" s="8" t="s">
        <v>58</v>
      </c>
      <c r="I15" s="8" t="s">
        <v>59</v>
      </c>
      <c r="J15" s="14"/>
    </row>
    <row r="16" ht="12.0" customHeight="1">
      <c r="A16" s="8" t="s">
        <v>50</v>
      </c>
      <c r="B16" s="6">
        <v>10.0</v>
      </c>
      <c r="C16" s="7" t="s">
        <v>11</v>
      </c>
      <c r="D16" s="7" t="s">
        <v>12</v>
      </c>
      <c r="E16" s="8" t="s">
        <v>51</v>
      </c>
      <c r="F16" s="6" t="s">
        <v>27</v>
      </c>
      <c r="G16" s="6" t="s">
        <v>60</v>
      </c>
      <c r="H16" s="8" t="s">
        <v>41</v>
      </c>
      <c r="I16" s="8" t="s">
        <v>52</v>
      </c>
      <c r="J16" s="14"/>
    </row>
    <row r="17" ht="12.0" customHeight="1">
      <c r="A17" s="8" t="s">
        <v>50</v>
      </c>
      <c r="B17" s="6">
        <v>10.0</v>
      </c>
      <c r="C17" s="7" t="s">
        <v>11</v>
      </c>
      <c r="D17" s="7" t="s">
        <v>12</v>
      </c>
      <c r="E17" s="8" t="s">
        <v>51</v>
      </c>
      <c r="F17" s="6" t="s">
        <v>27</v>
      </c>
      <c r="G17" s="6" t="s">
        <v>40</v>
      </c>
      <c r="H17" s="8" t="s">
        <v>41</v>
      </c>
      <c r="I17" s="8" t="s">
        <v>61</v>
      </c>
      <c r="J17" s="14"/>
    </row>
    <row r="18" ht="12.0" customHeight="1">
      <c r="A18" s="8" t="s">
        <v>50</v>
      </c>
      <c r="B18" s="6">
        <v>10.0</v>
      </c>
      <c r="C18" s="7" t="s">
        <v>11</v>
      </c>
      <c r="D18" s="7" t="s">
        <v>12</v>
      </c>
      <c r="E18" s="8" t="s">
        <v>51</v>
      </c>
      <c r="F18" s="6" t="s">
        <v>27</v>
      </c>
      <c r="G18" s="6" t="s">
        <v>27</v>
      </c>
      <c r="H18" s="8" t="s">
        <v>41</v>
      </c>
      <c r="I18" s="10" t="s">
        <v>62</v>
      </c>
      <c r="J18" s="14"/>
    </row>
    <row r="19" ht="12.0" customHeight="1">
      <c r="A19" s="5" t="s">
        <v>63</v>
      </c>
      <c r="B19" s="6">
        <v>100.0</v>
      </c>
      <c r="C19" s="7" t="s">
        <v>24</v>
      </c>
      <c r="D19" s="7" t="s">
        <v>64</v>
      </c>
      <c r="E19" s="10" t="s">
        <v>41</v>
      </c>
      <c r="F19" s="6">
        <v>8.0</v>
      </c>
      <c r="G19" s="6">
        <v>1.0</v>
      </c>
      <c r="H19" s="8" t="s">
        <v>41</v>
      </c>
      <c r="I19" s="10" t="s">
        <v>65</v>
      </c>
      <c r="J19" s="11" t="s">
        <v>41</v>
      </c>
    </row>
    <row r="20" ht="12.0" customHeight="1">
      <c r="A20" s="5" t="s">
        <v>63</v>
      </c>
      <c r="B20" s="6">
        <v>100.0</v>
      </c>
      <c r="C20" s="7" t="s">
        <v>24</v>
      </c>
      <c r="D20" s="7" t="s">
        <v>64</v>
      </c>
      <c r="E20" s="10" t="s">
        <v>41</v>
      </c>
      <c r="F20" s="6">
        <v>8.0</v>
      </c>
      <c r="G20" s="7">
        <v>2.0</v>
      </c>
      <c r="H20" s="8" t="s">
        <v>41</v>
      </c>
      <c r="I20" s="10" t="s">
        <v>41</v>
      </c>
      <c r="J20" s="11" t="s">
        <v>41</v>
      </c>
    </row>
    <row r="21" ht="12.0" customHeight="1">
      <c r="A21" s="5" t="s">
        <v>63</v>
      </c>
      <c r="B21" s="6">
        <v>100.0</v>
      </c>
      <c r="C21" s="7" t="s">
        <v>24</v>
      </c>
      <c r="D21" s="7" t="s">
        <v>64</v>
      </c>
      <c r="E21" s="10" t="s">
        <v>41</v>
      </c>
      <c r="F21" s="6">
        <v>8.0</v>
      </c>
      <c r="G21" s="6" t="s">
        <v>66</v>
      </c>
      <c r="H21" s="8" t="s">
        <v>41</v>
      </c>
      <c r="I21" s="8" t="s">
        <v>67</v>
      </c>
      <c r="J21" s="11" t="s">
        <v>41</v>
      </c>
    </row>
    <row r="22" ht="12.0" customHeight="1">
      <c r="A22" s="5" t="s">
        <v>68</v>
      </c>
      <c r="B22" s="6">
        <v>100.0</v>
      </c>
      <c r="C22" s="7" t="s">
        <v>24</v>
      </c>
      <c r="D22" s="7" t="s">
        <v>25</v>
      </c>
      <c r="E22" s="8" t="s">
        <v>69</v>
      </c>
      <c r="F22" s="6">
        <v>8.0</v>
      </c>
      <c r="G22" s="6">
        <v>1.0</v>
      </c>
      <c r="H22" s="10" t="s">
        <v>70</v>
      </c>
      <c r="I22" s="10" t="s">
        <v>71</v>
      </c>
      <c r="J22" s="9" t="s">
        <v>17</v>
      </c>
    </row>
    <row r="23" ht="12.0" customHeight="1">
      <c r="A23" s="5" t="s">
        <v>68</v>
      </c>
      <c r="B23" s="6">
        <v>100.0</v>
      </c>
      <c r="C23" s="7" t="s">
        <v>24</v>
      </c>
      <c r="D23" s="7" t="s">
        <v>25</v>
      </c>
      <c r="E23" s="8" t="s">
        <v>69</v>
      </c>
      <c r="F23" s="6">
        <v>8.0</v>
      </c>
      <c r="G23" s="6">
        <v>2.0</v>
      </c>
      <c r="H23" s="8" t="s">
        <v>41</v>
      </c>
      <c r="I23" s="8" t="s">
        <v>61</v>
      </c>
      <c r="J23" s="14"/>
    </row>
    <row r="24" ht="12.0" customHeight="1">
      <c r="A24" s="5" t="s">
        <v>68</v>
      </c>
      <c r="B24" s="6">
        <v>100.0</v>
      </c>
      <c r="C24" s="7" t="s">
        <v>24</v>
      </c>
      <c r="D24" s="7" t="s">
        <v>25</v>
      </c>
      <c r="E24" s="8" t="s">
        <v>69</v>
      </c>
      <c r="F24" s="6">
        <v>8.0</v>
      </c>
      <c r="G24" s="6">
        <v>3.0</v>
      </c>
      <c r="H24" s="10" t="s">
        <v>72</v>
      </c>
      <c r="I24" s="10" t="s">
        <v>73</v>
      </c>
      <c r="J24" s="11" t="s">
        <v>17</v>
      </c>
    </row>
    <row r="25" ht="12.0" customHeight="1">
      <c r="A25" s="5" t="s">
        <v>68</v>
      </c>
      <c r="B25" s="6">
        <v>100.0</v>
      </c>
      <c r="C25" s="7" t="s">
        <v>24</v>
      </c>
      <c r="D25" s="7" t="s">
        <v>25</v>
      </c>
      <c r="E25" s="8" t="s">
        <v>69</v>
      </c>
      <c r="F25" s="6">
        <v>8.0</v>
      </c>
      <c r="G25" s="6">
        <v>4.0</v>
      </c>
      <c r="H25" s="17" t="s">
        <v>74</v>
      </c>
      <c r="I25" s="10" t="s">
        <v>75</v>
      </c>
      <c r="J25" s="11" t="s">
        <v>17</v>
      </c>
    </row>
    <row r="26" ht="12.0" customHeight="1">
      <c r="A26" s="5" t="s">
        <v>68</v>
      </c>
      <c r="B26" s="6">
        <v>100.0</v>
      </c>
      <c r="C26" s="7" t="s">
        <v>24</v>
      </c>
      <c r="D26" s="7" t="s">
        <v>25</v>
      </c>
      <c r="E26" s="8" t="s">
        <v>69</v>
      </c>
      <c r="F26" s="6">
        <v>8.0</v>
      </c>
      <c r="G26" s="7">
        <v>5.0</v>
      </c>
      <c r="H26" s="10" t="s">
        <v>76</v>
      </c>
      <c r="I26" s="10" t="s">
        <v>77</v>
      </c>
      <c r="J26" s="9" t="s">
        <v>41</v>
      </c>
    </row>
    <row r="27" ht="12.0" customHeight="1">
      <c r="A27" s="5" t="s">
        <v>68</v>
      </c>
      <c r="B27" s="6">
        <v>100.0</v>
      </c>
      <c r="C27" s="7" t="s">
        <v>24</v>
      </c>
      <c r="D27" s="7" t="s">
        <v>25</v>
      </c>
      <c r="E27" s="8" t="s">
        <v>69</v>
      </c>
      <c r="F27" s="6">
        <v>8.0</v>
      </c>
      <c r="G27" s="7">
        <v>6.0</v>
      </c>
      <c r="H27" s="10" t="s">
        <v>78</v>
      </c>
      <c r="I27" s="10" t="s">
        <v>79</v>
      </c>
      <c r="J27" s="9" t="s">
        <v>17</v>
      </c>
    </row>
    <row r="28" ht="12.0" customHeight="1">
      <c r="A28" s="5" t="s">
        <v>68</v>
      </c>
      <c r="B28" s="6">
        <v>100.0</v>
      </c>
      <c r="C28" s="7" t="s">
        <v>24</v>
      </c>
      <c r="D28" s="7" t="s">
        <v>25</v>
      </c>
      <c r="E28" s="8" t="s">
        <v>69</v>
      </c>
      <c r="F28" s="6">
        <v>8.0</v>
      </c>
      <c r="G28" s="7">
        <v>7.0</v>
      </c>
      <c r="H28" s="10" t="s">
        <v>41</v>
      </c>
      <c r="I28" s="10" t="s">
        <v>80</v>
      </c>
      <c r="J28" s="14"/>
    </row>
    <row r="29" ht="12.0" customHeight="1">
      <c r="A29" s="5" t="s">
        <v>68</v>
      </c>
      <c r="B29" s="6">
        <v>100.0</v>
      </c>
      <c r="C29" s="7" t="s">
        <v>24</v>
      </c>
      <c r="D29" s="7" t="s">
        <v>25</v>
      </c>
      <c r="E29" s="8" t="s">
        <v>69</v>
      </c>
      <c r="F29" s="6">
        <v>8.0</v>
      </c>
      <c r="G29" s="6">
        <v>8.0</v>
      </c>
      <c r="H29" s="10" t="s">
        <v>76</v>
      </c>
      <c r="I29" s="10" t="s">
        <v>81</v>
      </c>
      <c r="J29" s="9" t="s">
        <v>41</v>
      </c>
    </row>
    <row r="30" ht="12.0" customHeight="1">
      <c r="A30" s="5" t="s">
        <v>82</v>
      </c>
      <c r="B30" s="6">
        <v>100.0</v>
      </c>
      <c r="C30" s="7" t="s">
        <v>24</v>
      </c>
      <c r="D30" s="7" t="s">
        <v>25</v>
      </c>
      <c r="E30" s="10" t="s">
        <v>83</v>
      </c>
      <c r="F30" s="6">
        <v>8.0</v>
      </c>
      <c r="G30" s="6">
        <v>1.0</v>
      </c>
      <c r="H30" s="10" t="s">
        <v>70</v>
      </c>
      <c r="I30" s="10" t="s">
        <v>84</v>
      </c>
      <c r="J30" s="9" t="s">
        <v>41</v>
      </c>
    </row>
    <row r="31" ht="12.0" customHeight="1">
      <c r="A31" s="5" t="s">
        <v>82</v>
      </c>
      <c r="B31" s="6">
        <v>100.0</v>
      </c>
      <c r="C31" s="7" t="s">
        <v>24</v>
      </c>
      <c r="D31" s="7" t="s">
        <v>25</v>
      </c>
      <c r="E31" s="10" t="s">
        <v>83</v>
      </c>
      <c r="F31" s="6">
        <v>8.0</v>
      </c>
      <c r="G31" s="6">
        <v>2.0</v>
      </c>
      <c r="H31" s="10" t="s">
        <v>85</v>
      </c>
      <c r="I31" s="10" t="s">
        <v>86</v>
      </c>
      <c r="J31" s="9" t="s">
        <v>41</v>
      </c>
    </row>
    <row r="32" ht="12.0" customHeight="1">
      <c r="A32" s="5" t="s">
        <v>82</v>
      </c>
      <c r="B32" s="6">
        <v>100.0</v>
      </c>
      <c r="C32" s="7" t="s">
        <v>24</v>
      </c>
      <c r="D32" s="7" t="s">
        <v>25</v>
      </c>
      <c r="E32" s="10" t="s">
        <v>83</v>
      </c>
      <c r="F32" s="6">
        <v>8.0</v>
      </c>
      <c r="G32" s="18" t="s">
        <v>87</v>
      </c>
      <c r="H32" s="8" t="s">
        <v>88</v>
      </c>
      <c r="I32" s="8" t="s">
        <v>89</v>
      </c>
      <c r="J32" s="4" t="s">
        <v>41</v>
      </c>
    </row>
    <row r="33" ht="12.0" customHeight="1">
      <c r="A33" s="5" t="s">
        <v>82</v>
      </c>
      <c r="B33" s="6">
        <v>100.0</v>
      </c>
      <c r="C33" s="7" t="s">
        <v>24</v>
      </c>
      <c r="D33" s="7" t="s">
        <v>25</v>
      </c>
      <c r="E33" s="10" t="s">
        <v>83</v>
      </c>
      <c r="F33" s="6">
        <v>8.0</v>
      </c>
      <c r="G33" s="18" t="s">
        <v>90</v>
      </c>
      <c r="H33" s="8" t="s">
        <v>88</v>
      </c>
      <c r="I33" s="8" t="s">
        <v>91</v>
      </c>
      <c r="J33" s="4" t="s">
        <v>41</v>
      </c>
    </row>
    <row r="34" ht="12.0" customHeight="1">
      <c r="A34" s="5" t="s">
        <v>92</v>
      </c>
      <c r="B34" s="6">
        <v>100.0</v>
      </c>
      <c r="C34" s="7" t="s">
        <v>24</v>
      </c>
      <c r="D34" s="7" t="s">
        <v>64</v>
      </c>
      <c r="E34" s="8" t="s">
        <v>93</v>
      </c>
      <c r="F34" s="6">
        <v>7.0</v>
      </c>
      <c r="G34" s="18" t="s">
        <v>94</v>
      </c>
      <c r="H34" s="8" t="s">
        <v>95</v>
      </c>
      <c r="I34" s="10" t="s">
        <v>96</v>
      </c>
      <c r="J34" s="11" t="s">
        <v>17</v>
      </c>
    </row>
    <row r="35" ht="12.0" customHeight="1">
      <c r="A35" s="5" t="s">
        <v>97</v>
      </c>
      <c r="B35" s="6">
        <v>100.0</v>
      </c>
      <c r="C35" s="7" t="s">
        <v>24</v>
      </c>
      <c r="D35" s="7" t="s">
        <v>98</v>
      </c>
      <c r="E35" s="8" t="s">
        <v>99</v>
      </c>
      <c r="F35" s="6">
        <v>6.0</v>
      </c>
      <c r="G35" s="18" t="s">
        <v>100</v>
      </c>
      <c r="H35" s="8" t="s">
        <v>101</v>
      </c>
      <c r="I35" s="8" t="s">
        <v>102</v>
      </c>
      <c r="J35" s="11" t="s">
        <v>17</v>
      </c>
    </row>
    <row r="36" ht="12.0" customHeight="1">
      <c r="A36" s="5" t="s">
        <v>103</v>
      </c>
      <c r="B36" s="6">
        <v>1000.0</v>
      </c>
      <c r="C36" s="7" t="s">
        <v>24</v>
      </c>
      <c r="D36" s="7" t="s">
        <v>25</v>
      </c>
      <c r="E36" s="8" t="s">
        <v>104</v>
      </c>
      <c r="F36" s="6">
        <v>8.0</v>
      </c>
      <c r="G36" s="18" t="s">
        <v>105</v>
      </c>
      <c r="H36" s="8" t="s">
        <v>106</v>
      </c>
      <c r="I36" s="8" t="s">
        <v>49</v>
      </c>
      <c r="J36" s="11" t="s">
        <v>17</v>
      </c>
    </row>
    <row r="37" ht="12.0" customHeight="1">
      <c r="A37" s="5" t="s">
        <v>107</v>
      </c>
      <c r="B37" s="6">
        <v>100.0</v>
      </c>
      <c r="C37" s="7" t="s">
        <v>24</v>
      </c>
      <c r="D37" s="7" t="s">
        <v>25</v>
      </c>
      <c r="E37" s="8" t="s">
        <v>108</v>
      </c>
      <c r="F37" s="6">
        <v>8.0</v>
      </c>
      <c r="G37" s="18" t="s">
        <v>109</v>
      </c>
      <c r="H37" s="8" t="s">
        <v>110</v>
      </c>
      <c r="I37" s="8" t="s">
        <v>111</v>
      </c>
      <c r="J37" s="11" t="s">
        <v>17</v>
      </c>
    </row>
    <row r="38" ht="12.0" customHeight="1">
      <c r="A38" s="5" t="s">
        <v>112</v>
      </c>
      <c r="B38" s="6">
        <v>1000.0</v>
      </c>
      <c r="C38" s="7" t="s">
        <v>24</v>
      </c>
      <c r="D38" s="7" t="s">
        <v>25</v>
      </c>
      <c r="E38" s="8" t="s">
        <v>113</v>
      </c>
      <c r="F38" s="6">
        <v>8.0</v>
      </c>
      <c r="G38" s="18" t="s">
        <v>109</v>
      </c>
      <c r="H38" s="8" t="s">
        <v>114</v>
      </c>
      <c r="I38" s="8" t="s">
        <v>111</v>
      </c>
      <c r="J38" s="11" t="s">
        <v>17</v>
      </c>
    </row>
    <row r="39" ht="12.0" customHeight="1">
      <c r="A39" s="5" t="s">
        <v>115</v>
      </c>
      <c r="B39" s="6">
        <v>1000.0</v>
      </c>
      <c r="C39" s="7" t="s">
        <v>24</v>
      </c>
      <c r="D39" s="7" t="s">
        <v>25</v>
      </c>
      <c r="E39" s="8" t="s">
        <v>116</v>
      </c>
      <c r="F39" s="6">
        <v>8.0</v>
      </c>
      <c r="G39" s="18" t="s">
        <v>117</v>
      </c>
      <c r="H39" s="8" t="s">
        <v>118</v>
      </c>
      <c r="I39" s="8" t="s">
        <v>111</v>
      </c>
      <c r="J39" s="11" t="s">
        <v>17</v>
      </c>
    </row>
    <row r="40" ht="12.0" customHeight="1">
      <c r="A40" s="5" t="s">
        <v>115</v>
      </c>
      <c r="B40" s="6">
        <v>1000.0</v>
      </c>
      <c r="C40" s="7" t="s">
        <v>24</v>
      </c>
      <c r="D40" s="7" t="s">
        <v>25</v>
      </c>
      <c r="E40" s="8" t="s">
        <v>116</v>
      </c>
      <c r="F40" s="6">
        <v>8.0</v>
      </c>
      <c r="G40" s="19" t="s">
        <v>90</v>
      </c>
      <c r="H40" s="10" t="s">
        <v>119</v>
      </c>
      <c r="I40" s="10" t="s">
        <v>120</v>
      </c>
      <c r="J40" s="9" t="s">
        <v>17</v>
      </c>
    </row>
    <row r="41" ht="12.0" customHeight="1">
      <c r="A41" s="5" t="s">
        <v>121</v>
      </c>
      <c r="B41" s="6">
        <v>1000.0</v>
      </c>
      <c r="C41" s="7" t="s">
        <v>24</v>
      </c>
      <c r="D41" s="7" t="s">
        <v>25</v>
      </c>
      <c r="E41" s="8" t="s">
        <v>122</v>
      </c>
      <c r="F41" s="6">
        <v>8.0</v>
      </c>
      <c r="G41" s="18" t="s">
        <v>123</v>
      </c>
      <c r="H41" s="8" t="s">
        <v>124</v>
      </c>
      <c r="I41" s="8" t="s">
        <v>125</v>
      </c>
      <c r="J41" s="11" t="s">
        <v>17</v>
      </c>
    </row>
    <row r="42" ht="12.0" customHeight="1">
      <c r="A42" s="8" t="s">
        <v>126</v>
      </c>
      <c r="B42" s="6">
        <v>100.0</v>
      </c>
      <c r="C42" s="7" t="s">
        <v>24</v>
      </c>
      <c r="D42" s="7" t="s">
        <v>64</v>
      </c>
      <c r="E42" s="8" t="s">
        <v>127</v>
      </c>
      <c r="F42" s="6" t="s">
        <v>27</v>
      </c>
      <c r="G42" s="6" t="s">
        <v>28</v>
      </c>
      <c r="H42" s="8" t="s">
        <v>128</v>
      </c>
      <c r="I42" s="8" t="s">
        <v>129</v>
      </c>
      <c r="J42" s="11" t="s">
        <v>17</v>
      </c>
    </row>
    <row r="43" ht="12.0" customHeight="1">
      <c r="A43" s="8" t="s">
        <v>126</v>
      </c>
      <c r="B43" s="6">
        <v>100.0</v>
      </c>
      <c r="C43" s="7" t="s">
        <v>24</v>
      </c>
      <c r="D43" s="7" t="s">
        <v>64</v>
      </c>
      <c r="E43" s="8" t="s">
        <v>127</v>
      </c>
      <c r="F43" s="6" t="s">
        <v>27</v>
      </c>
      <c r="G43" s="6" t="s">
        <v>53</v>
      </c>
      <c r="H43" s="8" t="s">
        <v>130</v>
      </c>
      <c r="I43" s="8" t="s">
        <v>129</v>
      </c>
      <c r="J43" s="11" t="s">
        <v>17</v>
      </c>
    </row>
    <row r="44" ht="12.0" customHeight="1">
      <c r="A44" s="8" t="s">
        <v>126</v>
      </c>
      <c r="B44" s="6">
        <v>100.0</v>
      </c>
      <c r="C44" s="7" t="s">
        <v>24</v>
      </c>
      <c r="D44" s="7" t="s">
        <v>64</v>
      </c>
      <c r="E44" s="8" t="s">
        <v>127</v>
      </c>
      <c r="F44" s="6" t="s">
        <v>27</v>
      </c>
      <c r="G44" s="6" t="s">
        <v>131</v>
      </c>
      <c r="H44" s="10" t="s">
        <v>132</v>
      </c>
      <c r="I44" s="10" t="s">
        <v>133</v>
      </c>
      <c r="J44" s="9" t="s">
        <v>41</v>
      </c>
    </row>
    <row r="45" ht="12.0" customHeight="1">
      <c r="A45" s="8" t="s">
        <v>126</v>
      </c>
      <c r="B45" s="6">
        <v>100.0</v>
      </c>
      <c r="C45" s="7" t="s">
        <v>24</v>
      </c>
      <c r="D45" s="7" t="s">
        <v>64</v>
      </c>
      <c r="E45" s="8" t="s">
        <v>127</v>
      </c>
      <c r="F45" s="6" t="s">
        <v>27</v>
      </c>
      <c r="G45" s="6" t="s">
        <v>34</v>
      </c>
      <c r="H45" s="10" t="s">
        <v>134</v>
      </c>
      <c r="I45" s="10" t="s">
        <v>135</v>
      </c>
      <c r="J45" s="9" t="s">
        <v>41</v>
      </c>
    </row>
    <row r="46" ht="12.0" customHeight="1">
      <c r="A46" s="8" t="s">
        <v>126</v>
      </c>
      <c r="B46" s="6">
        <v>100.0</v>
      </c>
      <c r="C46" s="7" t="s">
        <v>24</v>
      </c>
      <c r="D46" s="7" t="s">
        <v>64</v>
      </c>
      <c r="E46" s="8" t="s">
        <v>127</v>
      </c>
      <c r="F46" s="6" t="s">
        <v>27</v>
      </c>
      <c r="G46" s="6" t="s">
        <v>57</v>
      </c>
      <c r="H46" s="10" t="s">
        <v>136</v>
      </c>
      <c r="I46" s="10" t="s">
        <v>137</v>
      </c>
      <c r="J46" s="9" t="s">
        <v>41</v>
      </c>
    </row>
    <row r="47" ht="12.0" customHeight="1">
      <c r="A47" s="8" t="s">
        <v>126</v>
      </c>
      <c r="B47" s="6">
        <v>100.0</v>
      </c>
      <c r="C47" s="7" t="s">
        <v>24</v>
      </c>
      <c r="D47" s="7" t="s">
        <v>64</v>
      </c>
      <c r="E47" s="8" t="s">
        <v>127</v>
      </c>
      <c r="F47" s="6" t="s">
        <v>27</v>
      </c>
      <c r="G47" s="6" t="s">
        <v>60</v>
      </c>
      <c r="H47" s="8" t="s">
        <v>41</v>
      </c>
      <c r="I47" s="8" t="s">
        <v>42</v>
      </c>
      <c r="J47" s="14"/>
    </row>
    <row r="48" ht="12.0" customHeight="1">
      <c r="A48" s="8" t="s">
        <v>126</v>
      </c>
      <c r="B48" s="6">
        <v>100.0</v>
      </c>
      <c r="C48" s="7" t="s">
        <v>24</v>
      </c>
      <c r="D48" s="7" t="s">
        <v>64</v>
      </c>
      <c r="E48" s="8" t="s">
        <v>127</v>
      </c>
      <c r="F48" s="6" t="s">
        <v>27</v>
      </c>
      <c r="G48" s="6" t="s">
        <v>40</v>
      </c>
      <c r="H48" s="8" t="s">
        <v>41</v>
      </c>
      <c r="I48" s="8" t="s">
        <v>138</v>
      </c>
      <c r="J48" s="14"/>
    </row>
    <row r="49" ht="12.0" customHeight="1">
      <c r="A49" s="8" t="s">
        <v>126</v>
      </c>
      <c r="B49" s="6">
        <v>100.0</v>
      </c>
      <c r="C49" s="7" t="s">
        <v>24</v>
      </c>
      <c r="D49" s="7" t="s">
        <v>64</v>
      </c>
      <c r="E49" s="8" t="s">
        <v>127</v>
      </c>
      <c r="F49" s="6" t="s">
        <v>27</v>
      </c>
      <c r="G49" s="6" t="s">
        <v>27</v>
      </c>
      <c r="H49" s="10" t="s">
        <v>139</v>
      </c>
      <c r="I49" s="8" t="s">
        <v>49</v>
      </c>
      <c r="J49" s="9" t="s">
        <v>17</v>
      </c>
    </row>
    <row r="50" ht="12.0" customHeight="1">
      <c r="A50" s="8" t="s">
        <v>140</v>
      </c>
      <c r="B50" s="6">
        <v>100.0</v>
      </c>
      <c r="C50" s="7" t="s">
        <v>24</v>
      </c>
      <c r="D50" s="7" t="s">
        <v>98</v>
      </c>
      <c r="E50" s="8" t="s">
        <v>141</v>
      </c>
      <c r="F50" s="6" t="s">
        <v>27</v>
      </c>
      <c r="G50" s="18" t="s">
        <v>100</v>
      </c>
      <c r="H50" s="8" t="s">
        <v>95</v>
      </c>
      <c r="I50" s="8" t="s">
        <v>142</v>
      </c>
      <c r="J50" s="11" t="s">
        <v>17</v>
      </c>
    </row>
    <row r="51" ht="12.0" customHeight="1">
      <c r="A51" s="8" t="s">
        <v>140</v>
      </c>
      <c r="B51" s="6">
        <v>100.0</v>
      </c>
      <c r="C51" s="7" t="s">
        <v>24</v>
      </c>
      <c r="D51" s="7" t="s">
        <v>98</v>
      </c>
      <c r="E51" s="8" t="s">
        <v>141</v>
      </c>
      <c r="F51" s="6" t="s">
        <v>27</v>
      </c>
      <c r="G51" s="6" t="s">
        <v>57</v>
      </c>
      <c r="H51" s="8" t="s">
        <v>41</v>
      </c>
      <c r="I51" s="8" t="s">
        <v>52</v>
      </c>
      <c r="J51" s="14"/>
    </row>
    <row r="52" ht="12.0" customHeight="1">
      <c r="A52" s="8" t="s">
        <v>140</v>
      </c>
      <c r="B52" s="6">
        <v>100.0</v>
      </c>
      <c r="C52" s="7" t="s">
        <v>24</v>
      </c>
      <c r="D52" s="7" t="s">
        <v>98</v>
      </c>
      <c r="E52" s="8" t="s">
        <v>141</v>
      </c>
      <c r="F52" s="6" t="s">
        <v>27</v>
      </c>
      <c r="G52" s="6" t="s">
        <v>60</v>
      </c>
      <c r="H52" s="8" t="s">
        <v>143</v>
      </c>
      <c r="I52" s="8" t="s">
        <v>144</v>
      </c>
      <c r="J52" s="11" t="s">
        <v>17</v>
      </c>
    </row>
    <row r="53" ht="12.0" customHeight="1">
      <c r="A53" s="8" t="s">
        <v>140</v>
      </c>
      <c r="B53" s="6">
        <v>100.0</v>
      </c>
      <c r="C53" s="7" t="s">
        <v>24</v>
      </c>
      <c r="D53" s="7" t="s">
        <v>98</v>
      </c>
      <c r="E53" s="8" t="s">
        <v>141</v>
      </c>
      <c r="F53" s="6" t="s">
        <v>27</v>
      </c>
      <c r="G53" s="6" t="s">
        <v>66</v>
      </c>
      <c r="H53" s="8" t="s">
        <v>145</v>
      </c>
      <c r="I53" s="8" t="s">
        <v>146</v>
      </c>
      <c r="J53" s="11" t="s">
        <v>17</v>
      </c>
    </row>
    <row r="54" ht="12.0" customHeight="1">
      <c r="A54" s="8" t="s">
        <v>147</v>
      </c>
      <c r="B54" s="6">
        <v>100.0</v>
      </c>
      <c r="C54" s="7" t="s">
        <v>11</v>
      </c>
      <c r="D54" s="7" t="s">
        <v>12</v>
      </c>
      <c r="E54" s="8" t="s">
        <v>148</v>
      </c>
      <c r="F54" s="6">
        <v>8.0</v>
      </c>
      <c r="G54" s="6" t="s">
        <v>28</v>
      </c>
      <c r="H54" s="8" t="s">
        <v>149</v>
      </c>
      <c r="I54" s="8" t="s">
        <v>150</v>
      </c>
      <c r="J54" s="11" t="s">
        <v>17</v>
      </c>
    </row>
    <row r="55" ht="12.0" customHeight="1">
      <c r="A55" s="8" t="s">
        <v>147</v>
      </c>
      <c r="B55" s="6">
        <v>100.0</v>
      </c>
      <c r="C55" s="7" t="s">
        <v>11</v>
      </c>
      <c r="D55" s="7" t="s">
        <v>12</v>
      </c>
      <c r="E55" s="8" t="s">
        <v>148</v>
      </c>
      <c r="F55" s="6">
        <v>8.0</v>
      </c>
      <c r="G55" s="6" t="s">
        <v>53</v>
      </c>
      <c r="H55" s="8" t="s">
        <v>151</v>
      </c>
      <c r="I55" s="8" t="s">
        <v>152</v>
      </c>
      <c r="J55" s="9" t="s">
        <v>17</v>
      </c>
    </row>
    <row r="56" ht="12.0" customHeight="1">
      <c r="A56" s="8" t="s">
        <v>147</v>
      </c>
      <c r="B56" s="6">
        <v>100.0</v>
      </c>
      <c r="C56" s="7" t="s">
        <v>11</v>
      </c>
      <c r="D56" s="7" t="s">
        <v>12</v>
      </c>
      <c r="E56" s="8" t="s">
        <v>148</v>
      </c>
      <c r="F56" s="6">
        <v>8.0</v>
      </c>
      <c r="G56" s="6" t="s">
        <v>131</v>
      </c>
      <c r="H56" s="10" t="s">
        <v>153</v>
      </c>
      <c r="I56" s="8" t="s">
        <v>154</v>
      </c>
      <c r="J56" s="9" t="s">
        <v>41</v>
      </c>
    </row>
    <row r="57" ht="12.0" customHeight="1">
      <c r="A57" s="8" t="s">
        <v>147</v>
      </c>
      <c r="B57" s="6">
        <v>100.0</v>
      </c>
      <c r="C57" s="7" t="s">
        <v>11</v>
      </c>
      <c r="D57" s="7" t="s">
        <v>12</v>
      </c>
      <c r="E57" s="8" t="s">
        <v>148</v>
      </c>
      <c r="F57" s="6">
        <v>8.0</v>
      </c>
      <c r="G57" s="6" t="s">
        <v>34</v>
      </c>
      <c r="H57" s="8" t="s">
        <v>155</v>
      </c>
      <c r="I57" s="8" t="s">
        <v>156</v>
      </c>
      <c r="J57" s="11" t="s">
        <v>17</v>
      </c>
    </row>
    <row r="58" ht="12.0" customHeight="1">
      <c r="A58" s="8" t="s">
        <v>147</v>
      </c>
      <c r="B58" s="6">
        <v>100.0</v>
      </c>
      <c r="C58" s="7" t="s">
        <v>11</v>
      </c>
      <c r="D58" s="7" t="s">
        <v>12</v>
      </c>
      <c r="E58" s="8" t="s">
        <v>148</v>
      </c>
      <c r="F58" s="6">
        <v>8.0</v>
      </c>
      <c r="G58" s="6" t="s">
        <v>57</v>
      </c>
      <c r="H58" s="8" t="s">
        <v>151</v>
      </c>
      <c r="I58" s="10" t="s">
        <v>157</v>
      </c>
      <c r="J58" s="9" t="s">
        <v>17</v>
      </c>
    </row>
    <row r="59" ht="12.0" customHeight="1">
      <c r="A59" s="8" t="s">
        <v>147</v>
      </c>
      <c r="B59" s="6">
        <v>100.0</v>
      </c>
      <c r="C59" s="7" t="s">
        <v>11</v>
      </c>
      <c r="D59" s="7" t="s">
        <v>12</v>
      </c>
      <c r="E59" s="8" t="s">
        <v>148</v>
      </c>
      <c r="F59" s="6">
        <v>8.0</v>
      </c>
      <c r="G59" s="6" t="s">
        <v>60</v>
      </c>
      <c r="H59" s="10" t="s">
        <v>158</v>
      </c>
      <c r="I59" s="10" t="s">
        <v>159</v>
      </c>
      <c r="J59" s="9" t="s">
        <v>41</v>
      </c>
    </row>
    <row r="60" ht="12.0" customHeight="1">
      <c r="A60" s="8" t="s">
        <v>147</v>
      </c>
      <c r="B60" s="6">
        <v>100.0</v>
      </c>
      <c r="C60" s="7" t="s">
        <v>11</v>
      </c>
      <c r="D60" s="7" t="s">
        <v>12</v>
      </c>
      <c r="E60" s="8" t="s">
        <v>148</v>
      </c>
      <c r="F60" s="6">
        <v>8.0</v>
      </c>
      <c r="G60" s="6" t="s">
        <v>40</v>
      </c>
      <c r="H60" s="8" t="s">
        <v>41</v>
      </c>
      <c r="I60" s="8" t="s">
        <v>42</v>
      </c>
      <c r="J60" s="14"/>
    </row>
    <row r="61" ht="12.0" customHeight="1">
      <c r="A61" s="8" t="s">
        <v>147</v>
      </c>
      <c r="B61" s="6">
        <v>100.0</v>
      </c>
      <c r="C61" s="7" t="s">
        <v>11</v>
      </c>
      <c r="D61" s="7" t="s">
        <v>12</v>
      </c>
      <c r="E61" s="8" t="s">
        <v>148</v>
      </c>
      <c r="F61" s="6">
        <v>8.0</v>
      </c>
      <c r="G61" s="6" t="s">
        <v>27</v>
      </c>
      <c r="H61" s="8" t="s">
        <v>41</v>
      </c>
      <c r="I61" s="8" t="s">
        <v>160</v>
      </c>
      <c r="J61" s="14"/>
    </row>
    <row r="62" ht="12.0" customHeight="1">
      <c r="A62" s="5" t="s">
        <v>161</v>
      </c>
      <c r="B62" s="6">
        <v>100.0</v>
      </c>
      <c r="C62" s="7" t="s">
        <v>11</v>
      </c>
      <c r="D62" s="7" t="s">
        <v>12</v>
      </c>
      <c r="E62" s="8" t="s">
        <v>162</v>
      </c>
      <c r="F62" s="6">
        <v>8.0</v>
      </c>
      <c r="G62" s="6" t="s">
        <v>163</v>
      </c>
      <c r="H62" s="8" t="s">
        <v>164</v>
      </c>
      <c r="I62" s="8" t="s">
        <v>165</v>
      </c>
      <c r="J62" s="11" t="s">
        <v>17</v>
      </c>
    </row>
    <row r="63" ht="12.0" customHeight="1">
      <c r="A63" s="5" t="s">
        <v>161</v>
      </c>
      <c r="B63" s="6">
        <v>100.0</v>
      </c>
      <c r="C63" s="7" t="s">
        <v>11</v>
      </c>
      <c r="D63" s="7" t="s">
        <v>12</v>
      </c>
      <c r="E63" s="8" t="s">
        <v>162</v>
      </c>
      <c r="F63" s="6">
        <v>8.0</v>
      </c>
      <c r="G63" s="6">
        <v>6.0</v>
      </c>
      <c r="H63" s="10" t="s">
        <v>166</v>
      </c>
      <c r="I63" s="10" t="s">
        <v>49</v>
      </c>
      <c r="J63" s="9" t="s">
        <v>17</v>
      </c>
    </row>
    <row r="64" ht="12.0" customHeight="1">
      <c r="A64" s="8" t="s">
        <v>167</v>
      </c>
      <c r="B64" s="6">
        <v>100.0</v>
      </c>
      <c r="C64" s="7" t="s">
        <v>24</v>
      </c>
      <c r="D64" s="7" t="s">
        <v>98</v>
      </c>
      <c r="E64" s="8" t="s">
        <v>168</v>
      </c>
      <c r="F64" s="6" t="s">
        <v>40</v>
      </c>
      <c r="G64" s="6" t="s">
        <v>163</v>
      </c>
      <c r="H64" s="8" t="s">
        <v>169</v>
      </c>
      <c r="I64" s="8" t="s">
        <v>170</v>
      </c>
      <c r="J64" s="9" t="s">
        <v>17</v>
      </c>
    </row>
    <row r="65" ht="12.0" customHeight="1">
      <c r="A65" s="8" t="s">
        <v>167</v>
      </c>
      <c r="B65" s="6">
        <v>100.0</v>
      </c>
      <c r="C65" s="7" t="s">
        <v>24</v>
      </c>
      <c r="D65" s="7" t="s">
        <v>98</v>
      </c>
      <c r="E65" s="8" t="s">
        <v>168</v>
      </c>
      <c r="F65" s="6" t="s">
        <v>40</v>
      </c>
      <c r="G65" s="18" t="s">
        <v>171</v>
      </c>
      <c r="H65" s="8" t="s">
        <v>95</v>
      </c>
      <c r="I65" s="20" t="s">
        <v>172</v>
      </c>
      <c r="J65" s="9" t="s">
        <v>17</v>
      </c>
    </row>
    <row r="66" ht="12.0" customHeight="1">
      <c r="A66" s="8" t="s">
        <v>167</v>
      </c>
      <c r="B66" s="6">
        <v>100.0</v>
      </c>
      <c r="C66" s="7" t="s">
        <v>24</v>
      </c>
      <c r="D66" s="7" t="s">
        <v>98</v>
      </c>
      <c r="E66" s="8" t="s">
        <v>168</v>
      </c>
      <c r="F66" s="6" t="s">
        <v>40</v>
      </c>
      <c r="G66" s="6" t="s">
        <v>40</v>
      </c>
      <c r="H66" s="8" t="s">
        <v>41</v>
      </c>
      <c r="I66" s="10" t="s">
        <v>42</v>
      </c>
      <c r="J66" s="14"/>
    </row>
    <row r="67" ht="12.0" customHeight="1">
      <c r="A67" s="5" t="s">
        <v>173</v>
      </c>
      <c r="B67" s="6">
        <v>100.0</v>
      </c>
      <c r="C67" s="7" t="s">
        <v>24</v>
      </c>
      <c r="D67" s="7" t="s">
        <v>64</v>
      </c>
      <c r="E67" s="8" t="s">
        <v>41</v>
      </c>
      <c r="F67" s="6">
        <v>3.0</v>
      </c>
      <c r="G67" s="18" t="s">
        <v>174</v>
      </c>
      <c r="H67" s="10" t="s">
        <v>175</v>
      </c>
      <c r="I67" s="10" t="s">
        <v>176</v>
      </c>
      <c r="J67" s="9"/>
    </row>
    <row r="68" ht="12.0" customHeight="1">
      <c r="A68" s="5" t="s">
        <v>177</v>
      </c>
      <c r="B68" s="6">
        <v>100.0</v>
      </c>
      <c r="C68" s="7" t="s">
        <v>24</v>
      </c>
      <c r="D68" s="7" t="s">
        <v>25</v>
      </c>
      <c r="E68" s="8" t="s">
        <v>41</v>
      </c>
      <c r="F68" s="6">
        <v>3.0</v>
      </c>
      <c r="G68" s="18" t="s">
        <v>174</v>
      </c>
      <c r="H68" s="10" t="s">
        <v>178</v>
      </c>
      <c r="I68" s="10" t="s">
        <v>179</v>
      </c>
      <c r="J68" s="9" t="s">
        <v>17</v>
      </c>
    </row>
    <row r="69" ht="12.0" customHeight="1">
      <c r="A69" s="5" t="s">
        <v>180</v>
      </c>
      <c r="B69" s="6">
        <v>100.0</v>
      </c>
      <c r="C69" s="7" t="s">
        <v>11</v>
      </c>
      <c r="D69" s="7" t="s">
        <v>12</v>
      </c>
      <c r="E69" s="8" t="s">
        <v>41</v>
      </c>
      <c r="F69" s="6">
        <v>3.0</v>
      </c>
      <c r="G69" s="18" t="s">
        <v>174</v>
      </c>
      <c r="H69" s="10" t="s">
        <v>181</v>
      </c>
      <c r="I69" s="10" t="s">
        <v>182</v>
      </c>
      <c r="J69" s="9" t="s">
        <v>17</v>
      </c>
    </row>
    <row r="70" ht="12.0" customHeight="1">
      <c r="A70" s="5" t="s">
        <v>183</v>
      </c>
      <c r="B70" s="6">
        <v>3000.0</v>
      </c>
      <c r="C70" s="7" t="s">
        <v>24</v>
      </c>
      <c r="D70" s="7" t="s">
        <v>25</v>
      </c>
      <c r="E70" s="8" t="s">
        <v>41</v>
      </c>
      <c r="F70" s="6">
        <v>4.0</v>
      </c>
      <c r="G70" s="18" t="s">
        <v>100</v>
      </c>
      <c r="H70" s="10" t="s">
        <v>178</v>
      </c>
      <c r="I70" s="10" t="s">
        <v>184</v>
      </c>
      <c r="J70" s="14"/>
    </row>
    <row r="71" ht="12.0" customHeight="1">
      <c r="A71" s="5" t="s">
        <v>185</v>
      </c>
      <c r="B71" s="6">
        <v>1000.0</v>
      </c>
      <c r="C71" s="7" t="s">
        <v>24</v>
      </c>
      <c r="D71" s="7" t="s">
        <v>98</v>
      </c>
      <c r="E71" s="8" t="s">
        <v>186</v>
      </c>
      <c r="F71" s="6">
        <v>4.0</v>
      </c>
      <c r="G71" s="18" t="s">
        <v>100</v>
      </c>
      <c r="H71" s="8" t="s">
        <v>187</v>
      </c>
      <c r="I71" s="8" t="s">
        <v>188</v>
      </c>
      <c r="J71" s="11" t="s">
        <v>17</v>
      </c>
    </row>
    <row r="72" ht="12.0" customHeight="1">
      <c r="A72" s="5" t="s">
        <v>189</v>
      </c>
      <c r="B72" s="6">
        <v>500.0</v>
      </c>
      <c r="C72" s="7" t="s">
        <v>11</v>
      </c>
      <c r="D72" s="7" t="s">
        <v>12</v>
      </c>
      <c r="E72" s="10" t="s">
        <v>190</v>
      </c>
      <c r="F72" s="6">
        <v>1.0</v>
      </c>
      <c r="G72" s="6">
        <v>1.0</v>
      </c>
      <c r="H72" s="10" t="s">
        <v>191</v>
      </c>
      <c r="I72" s="10" t="s">
        <v>192</v>
      </c>
      <c r="J72" s="9" t="s">
        <v>17</v>
      </c>
    </row>
    <row r="73" ht="12.0" customHeight="1">
      <c r="A73" s="21"/>
      <c r="B73" s="22"/>
      <c r="C73" s="22"/>
      <c r="D73" s="22"/>
      <c r="E73" s="21"/>
      <c r="F73" s="22"/>
      <c r="G73" s="22"/>
      <c r="H73" s="21"/>
      <c r="I73" s="21"/>
      <c r="J73" s="14"/>
    </row>
    <row r="74" ht="12.0" customHeight="1">
      <c r="A74" s="21"/>
      <c r="B74" s="22"/>
      <c r="C74" s="22"/>
      <c r="D74" s="22"/>
      <c r="E74" s="21"/>
      <c r="F74" s="22"/>
      <c r="G74" s="22"/>
      <c r="H74" s="21"/>
      <c r="I74" s="21"/>
      <c r="J74" s="14"/>
    </row>
    <row r="75" ht="12.0" customHeight="1">
      <c r="A75" s="21"/>
      <c r="B75" s="22"/>
      <c r="C75" s="22"/>
      <c r="D75" s="22"/>
      <c r="E75" s="21"/>
      <c r="F75" s="22"/>
      <c r="G75" s="22"/>
      <c r="H75" s="21"/>
      <c r="I75" s="21"/>
      <c r="J75" s="14"/>
    </row>
    <row r="76" ht="12.0" customHeight="1">
      <c r="A76" s="21"/>
      <c r="B76" s="22"/>
      <c r="C76" s="22"/>
      <c r="D76" s="22"/>
      <c r="E76" s="21"/>
      <c r="F76" s="22"/>
      <c r="G76" s="22"/>
      <c r="H76" s="21"/>
      <c r="I76" s="21"/>
      <c r="J76" s="14"/>
    </row>
    <row r="77" ht="12.0" customHeight="1">
      <c r="A77" s="21"/>
      <c r="B77" s="22"/>
      <c r="C77" s="22"/>
      <c r="D77" s="22"/>
      <c r="E77" s="21"/>
      <c r="F77" s="22"/>
      <c r="G77" s="22"/>
      <c r="H77" s="21"/>
      <c r="I77" s="21"/>
      <c r="J77" s="14"/>
    </row>
    <row r="78" ht="12.0" customHeight="1">
      <c r="A78" s="21"/>
      <c r="B78" s="22"/>
      <c r="C78" s="22"/>
      <c r="D78" s="22"/>
      <c r="E78" s="21"/>
      <c r="F78" s="22"/>
      <c r="G78" s="22"/>
      <c r="H78" s="21"/>
      <c r="I78" s="21"/>
      <c r="J78" s="14"/>
    </row>
    <row r="79" ht="12.0" customHeight="1">
      <c r="A79" s="21"/>
      <c r="B79" s="22"/>
      <c r="C79" s="22"/>
      <c r="D79" s="22"/>
      <c r="E79" s="21"/>
      <c r="F79" s="22"/>
      <c r="G79" s="22"/>
      <c r="H79" s="21"/>
      <c r="I79" s="21"/>
      <c r="J79" s="14"/>
    </row>
    <row r="80" ht="12.0" customHeight="1">
      <c r="A80" s="21"/>
      <c r="B80" s="22"/>
      <c r="C80" s="22"/>
      <c r="D80" s="22"/>
      <c r="E80" s="21"/>
      <c r="F80" s="22"/>
      <c r="G80" s="22"/>
      <c r="H80" s="21"/>
      <c r="I80" s="21"/>
      <c r="J80" s="14"/>
    </row>
    <row r="81" ht="12.0" customHeight="1">
      <c r="A81" s="21"/>
      <c r="B81" s="22"/>
      <c r="C81" s="22"/>
      <c r="D81" s="22"/>
      <c r="E81" s="21"/>
      <c r="F81" s="22"/>
      <c r="G81" s="22"/>
      <c r="H81" s="21"/>
      <c r="I81" s="21"/>
      <c r="J81" s="14"/>
    </row>
    <row r="82" ht="12.0" customHeight="1">
      <c r="A82" s="21"/>
      <c r="B82" s="22"/>
      <c r="C82" s="22"/>
      <c r="D82" s="22"/>
      <c r="E82" s="21"/>
      <c r="F82" s="22"/>
      <c r="G82" s="22"/>
      <c r="H82" s="21"/>
      <c r="I82" s="21"/>
      <c r="J82" s="14"/>
    </row>
    <row r="83" ht="12.0" customHeight="1">
      <c r="A83" s="21"/>
      <c r="B83" s="22"/>
      <c r="C83" s="22"/>
      <c r="D83" s="22"/>
      <c r="E83" s="21"/>
      <c r="F83" s="22"/>
      <c r="G83" s="22"/>
      <c r="H83" s="21"/>
      <c r="I83" s="21"/>
      <c r="J83" s="14"/>
    </row>
    <row r="84" ht="12.0" customHeight="1">
      <c r="A84" s="21"/>
      <c r="B84" s="22"/>
      <c r="C84" s="22"/>
      <c r="D84" s="22"/>
      <c r="E84" s="21"/>
      <c r="F84" s="22"/>
      <c r="G84" s="22"/>
      <c r="H84" s="21"/>
      <c r="I84" s="21"/>
      <c r="J84" s="14"/>
    </row>
    <row r="85" ht="12.0" customHeight="1">
      <c r="A85" s="21"/>
      <c r="B85" s="22"/>
      <c r="C85" s="22"/>
      <c r="D85" s="22"/>
      <c r="E85" s="21"/>
      <c r="F85" s="22"/>
      <c r="G85" s="22"/>
      <c r="H85" s="21"/>
      <c r="I85" s="21"/>
      <c r="J85" s="14"/>
    </row>
    <row r="86" ht="12.0" customHeight="1">
      <c r="A86" s="21"/>
      <c r="B86" s="22"/>
      <c r="C86" s="22"/>
      <c r="D86" s="22"/>
      <c r="E86" s="21"/>
      <c r="F86" s="22"/>
      <c r="G86" s="22"/>
      <c r="H86" s="21"/>
      <c r="I86" s="21"/>
      <c r="J86" s="14"/>
    </row>
    <row r="87" ht="12.0" customHeight="1">
      <c r="A87" s="21"/>
      <c r="B87" s="22"/>
      <c r="C87" s="22"/>
      <c r="D87" s="22"/>
      <c r="E87" s="21"/>
      <c r="F87" s="22"/>
      <c r="G87" s="22"/>
      <c r="H87" s="21"/>
      <c r="I87" s="21"/>
      <c r="J87" s="14"/>
    </row>
    <row r="88" ht="12.0" customHeight="1">
      <c r="A88" s="21"/>
      <c r="B88" s="22"/>
      <c r="C88" s="22"/>
      <c r="D88" s="22"/>
      <c r="E88" s="21"/>
      <c r="F88" s="22"/>
      <c r="G88" s="22"/>
      <c r="H88" s="21"/>
      <c r="I88" s="21"/>
      <c r="J88" s="14"/>
    </row>
    <row r="89" ht="12.0" customHeight="1">
      <c r="A89" s="21"/>
      <c r="B89" s="22"/>
      <c r="C89" s="22"/>
      <c r="D89" s="22"/>
      <c r="E89" s="21"/>
      <c r="F89" s="22"/>
      <c r="G89" s="22"/>
      <c r="H89" s="21"/>
      <c r="I89" s="21"/>
      <c r="J89" s="14"/>
    </row>
    <row r="90" ht="12.0" customHeight="1">
      <c r="A90" s="21"/>
      <c r="B90" s="22"/>
      <c r="C90" s="22"/>
      <c r="D90" s="22"/>
      <c r="E90" s="21"/>
      <c r="F90" s="22"/>
      <c r="G90" s="22"/>
      <c r="H90" s="21"/>
      <c r="I90" s="21"/>
      <c r="J9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3" max="3" width="13.88"/>
    <col customWidth="1" min="4" max="4" width="35.0"/>
    <col customWidth="1" min="5" max="5" width="53.88"/>
  </cols>
  <sheetData>
    <row r="1">
      <c r="A1" s="23" t="s">
        <v>193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>
      <c r="A2" s="17" t="s">
        <v>194</v>
      </c>
      <c r="F2" s="23"/>
      <c r="G2" s="23"/>
      <c r="H2" s="23"/>
      <c r="I2" s="23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>
      <c r="A3" s="25"/>
      <c r="B3" s="25"/>
      <c r="C3" s="25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>
      <c r="A4" s="26" t="s">
        <v>0</v>
      </c>
      <c r="B4" s="27" t="s">
        <v>1</v>
      </c>
      <c r="C4" s="27" t="s">
        <v>5</v>
      </c>
      <c r="D4" s="28" t="s">
        <v>195</v>
      </c>
      <c r="E4" s="28" t="s">
        <v>7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>
      <c r="A5" s="29">
        <v>155.0</v>
      </c>
      <c r="B5" s="29">
        <v>10.0</v>
      </c>
      <c r="C5" s="30">
        <v>8.0</v>
      </c>
      <c r="D5" s="31" t="s">
        <v>196</v>
      </c>
      <c r="E5" s="31" t="s">
        <v>197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>
      <c r="A6" s="29">
        <v>424.0</v>
      </c>
      <c r="B6" s="29">
        <v>100.0</v>
      </c>
      <c r="C6" s="29">
        <v>8.0</v>
      </c>
      <c r="D6" s="31" t="s">
        <v>198</v>
      </c>
      <c r="E6" s="31" t="s">
        <v>199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>
      <c r="A7" s="29">
        <v>425.0</v>
      </c>
      <c r="B7" s="29">
        <v>100.0</v>
      </c>
      <c r="C7" s="29">
        <v>8.0</v>
      </c>
      <c r="D7" s="31" t="s">
        <v>200</v>
      </c>
      <c r="E7" s="31" t="s">
        <v>201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29">
        <v>554.0</v>
      </c>
      <c r="B8" s="29">
        <v>1000.0</v>
      </c>
      <c r="C8" s="29">
        <v>8.0</v>
      </c>
      <c r="D8" s="31" t="s">
        <v>202</v>
      </c>
      <c r="E8" s="31" t="s">
        <v>203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29">
        <v>556.0</v>
      </c>
      <c r="B9" s="29">
        <v>100.0</v>
      </c>
      <c r="C9" s="29">
        <v>8.0</v>
      </c>
      <c r="D9" s="31" t="s">
        <v>204</v>
      </c>
      <c r="E9" s="31" t="s">
        <v>205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A10" s="29">
        <v>557.0</v>
      </c>
      <c r="B10" s="29">
        <v>1000.0</v>
      </c>
      <c r="C10" s="29">
        <v>8.0</v>
      </c>
      <c r="D10" s="31" t="s">
        <v>206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9" t="s">
        <v>207</v>
      </c>
      <c r="B11" s="29">
        <v>1000.0</v>
      </c>
      <c r="C11" s="29">
        <v>8.0</v>
      </c>
      <c r="D11" s="31" t="s">
        <v>208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29" t="s">
        <v>209</v>
      </c>
      <c r="B12" s="29">
        <v>1000.0</v>
      </c>
      <c r="C12" s="29">
        <v>8.0</v>
      </c>
      <c r="D12" s="31" t="s">
        <v>210</v>
      </c>
      <c r="E12" s="31" t="s">
        <v>211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A13" s="29">
        <v>628.0</v>
      </c>
      <c r="B13" s="29">
        <v>100.0</v>
      </c>
      <c r="C13" s="29">
        <v>3.0</v>
      </c>
      <c r="D13" s="31" t="s">
        <v>212</v>
      </c>
      <c r="E13" s="31" t="s">
        <v>213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>
      <c r="A14" s="29">
        <v>659.0</v>
      </c>
      <c r="B14" s="29">
        <v>3000.0</v>
      </c>
      <c r="C14" s="29">
        <v>4.0</v>
      </c>
      <c r="D14" s="31" t="s">
        <v>214</v>
      </c>
      <c r="E14" s="31" t="s">
        <v>215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>
      <c r="A15" s="25"/>
      <c r="B15" s="25"/>
      <c r="C15" s="25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>
      <c r="A16" s="25"/>
      <c r="B16" s="25"/>
      <c r="C16" s="25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>
      <c r="A17" s="25"/>
      <c r="B17" s="25"/>
      <c r="C17" s="25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>
      <c r="A18" s="25"/>
      <c r="B18" s="25"/>
      <c r="C18" s="25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>
      <c r="A19" s="25"/>
      <c r="B19" s="25"/>
      <c r="C19" s="25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>
      <c r="A20" s="25"/>
      <c r="B20" s="25"/>
      <c r="C20" s="25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>
      <c r="A21" s="25"/>
      <c r="B21" s="25"/>
      <c r="C21" s="25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>
      <c r="A22" s="25"/>
      <c r="B22" s="25"/>
      <c r="C22" s="25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25"/>
      <c r="B23" s="25"/>
      <c r="C23" s="25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>
      <c r="A24" s="25"/>
      <c r="B24" s="25"/>
      <c r="C24" s="25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>
      <c r="A25" s="25"/>
      <c r="B25" s="25"/>
      <c r="C25" s="25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>
      <c r="A26" s="25"/>
      <c r="B26" s="25"/>
      <c r="C26" s="25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>
      <c r="A27" s="25"/>
      <c r="B27" s="25"/>
      <c r="C27" s="25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>
      <c r="A28" s="25"/>
      <c r="B28" s="25"/>
      <c r="C28" s="25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>
      <c r="A29" s="25"/>
      <c r="B29" s="25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>
      <c r="A30" s="25"/>
      <c r="B30" s="25"/>
      <c r="C30" s="25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>
      <c r="A31" s="25"/>
      <c r="B31" s="25"/>
      <c r="C31" s="25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25"/>
      <c r="B32" s="25"/>
      <c r="C32" s="25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>
      <c r="A33" s="25"/>
      <c r="B33" s="25"/>
      <c r="C33" s="25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25"/>
      <c r="B34" s="25"/>
      <c r="C34" s="25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>
      <c r="A35" s="25"/>
      <c r="B35" s="25"/>
      <c r="C35" s="25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>
      <c r="A36" s="25"/>
      <c r="B36" s="25"/>
      <c r="C36" s="25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>
      <c r="A37" s="25"/>
      <c r="B37" s="25"/>
      <c r="C37" s="25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>
      <c r="A38" s="25"/>
      <c r="B38" s="25"/>
      <c r="C38" s="25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>
      <c r="A39" s="25"/>
      <c r="B39" s="25"/>
      <c r="C39" s="25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>
      <c r="A40" s="25"/>
      <c r="B40" s="25"/>
      <c r="C40" s="25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>
      <c r="A41" s="25"/>
      <c r="B41" s="25"/>
      <c r="C41" s="25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>
      <c r="A42" s="25"/>
      <c r="B42" s="25"/>
      <c r="C42" s="25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>
      <c r="A43" s="25"/>
      <c r="B43" s="25"/>
      <c r="C43" s="25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>
      <c r="A44" s="25"/>
      <c r="B44" s="25"/>
      <c r="C44" s="25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>
      <c r="A45" s="25"/>
      <c r="B45" s="25"/>
      <c r="C45" s="25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>
      <c r="A46" s="25"/>
      <c r="B46" s="25"/>
      <c r="C46" s="25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>
      <c r="A47" s="25"/>
      <c r="B47" s="25"/>
      <c r="C47" s="25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>
      <c r="A48" s="25"/>
      <c r="B48" s="25"/>
      <c r="C48" s="25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>
      <c r="A49" s="25"/>
      <c r="B49" s="25"/>
      <c r="C49" s="25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>
      <c r="A50" s="25"/>
      <c r="B50" s="25"/>
      <c r="C50" s="25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>
      <c r="A51" s="25"/>
      <c r="B51" s="25"/>
      <c r="C51" s="25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>
      <c r="A52" s="25"/>
      <c r="B52" s="25"/>
      <c r="C52" s="25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>
      <c r="A53" s="25"/>
      <c r="B53" s="25"/>
      <c r="C53" s="25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>
      <c r="A54" s="25"/>
      <c r="B54" s="25"/>
      <c r="C54" s="25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>
      <c r="A55" s="25"/>
      <c r="B55" s="25"/>
      <c r="C55" s="25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>
      <c r="A56" s="25"/>
      <c r="B56" s="25"/>
      <c r="C56" s="25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>
      <c r="A57" s="25"/>
      <c r="B57" s="25"/>
      <c r="C57" s="25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>
      <c r="A58" s="25"/>
      <c r="B58" s="25"/>
      <c r="C58" s="25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>
      <c r="A59" s="25"/>
      <c r="B59" s="25"/>
      <c r="C59" s="25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>
      <c r="A60" s="25"/>
      <c r="B60" s="25"/>
      <c r="C60" s="25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>
      <c r="A61" s="25"/>
      <c r="B61" s="25"/>
      <c r="C61" s="25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>
      <c r="A62" s="25"/>
      <c r="B62" s="25"/>
      <c r="C62" s="25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>
      <c r="A63" s="25"/>
      <c r="B63" s="25"/>
      <c r="C63" s="25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>
      <c r="A64" s="25"/>
      <c r="B64" s="25"/>
      <c r="C64" s="25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>
      <c r="A65" s="25"/>
      <c r="B65" s="25"/>
      <c r="C65" s="25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>
      <c r="A66" s="25"/>
      <c r="B66" s="25"/>
      <c r="C66" s="25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>
      <c r="A67" s="25"/>
      <c r="B67" s="25"/>
      <c r="C67" s="25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>
      <c r="A68" s="25"/>
      <c r="B68" s="25"/>
      <c r="C68" s="25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>
      <c r="A69" s="25"/>
      <c r="B69" s="25"/>
      <c r="C69" s="25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>
      <c r="A70" s="25"/>
      <c r="B70" s="25"/>
      <c r="C70" s="25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>
      <c r="A71" s="25"/>
      <c r="B71" s="25"/>
      <c r="C71" s="25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>
      <c r="A72" s="25"/>
      <c r="B72" s="25"/>
      <c r="C72" s="25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>
      <c r="A73" s="25"/>
      <c r="B73" s="25"/>
      <c r="C73" s="25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>
      <c r="A74" s="25"/>
      <c r="B74" s="25"/>
      <c r="C74" s="25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>
      <c r="A75" s="25"/>
      <c r="B75" s="25"/>
      <c r="C75" s="25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>
      <c r="A76" s="25"/>
      <c r="B76" s="25"/>
      <c r="C76" s="25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>
      <c r="A77" s="25"/>
      <c r="B77" s="25"/>
      <c r="C77" s="25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>
      <c r="A78" s="25"/>
      <c r="B78" s="25"/>
      <c r="C78" s="25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>
      <c r="A79" s="25"/>
      <c r="B79" s="25"/>
      <c r="C79" s="25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>
      <c r="A80" s="25"/>
      <c r="B80" s="25"/>
      <c r="C80" s="25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>
      <c r="A81" s="25"/>
      <c r="B81" s="25"/>
      <c r="C81" s="25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>
      <c r="A82" s="25"/>
      <c r="B82" s="25"/>
      <c r="C82" s="25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>
      <c r="A83" s="25"/>
      <c r="B83" s="25"/>
      <c r="C83" s="25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>
      <c r="A84" s="25"/>
      <c r="B84" s="25"/>
      <c r="C84" s="25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>
      <c r="A85" s="25"/>
      <c r="B85" s="25"/>
      <c r="C85" s="25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>
      <c r="A86" s="25"/>
      <c r="B86" s="25"/>
      <c r="C86" s="25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>
      <c r="A87" s="25"/>
      <c r="B87" s="25"/>
      <c r="C87" s="25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>
      <c r="A88" s="25"/>
      <c r="B88" s="25"/>
      <c r="C88" s="25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>
      <c r="A89" s="25"/>
      <c r="B89" s="25"/>
      <c r="C89" s="25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>
      <c r="A90" s="25"/>
      <c r="B90" s="25"/>
      <c r="C90" s="25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>
      <c r="A91" s="25"/>
      <c r="B91" s="25"/>
      <c r="C91" s="25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>
      <c r="A92" s="25"/>
      <c r="B92" s="25"/>
      <c r="C92" s="25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>
      <c r="A93" s="25"/>
      <c r="B93" s="25"/>
      <c r="C93" s="25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>
      <c r="A94" s="25"/>
      <c r="B94" s="25"/>
      <c r="C94" s="25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>
      <c r="A95" s="25"/>
      <c r="B95" s="25"/>
      <c r="C95" s="25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>
      <c r="A96" s="25"/>
      <c r="B96" s="25"/>
      <c r="C96" s="25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>
      <c r="A97" s="25"/>
      <c r="B97" s="25"/>
      <c r="C97" s="25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>
      <c r="A98" s="25"/>
      <c r="B98" s="25"/>
      <c r="C98" s="25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>
      <c r="A99" s="25"/>
      <c r="B99" s="25"/>
      <c r="C99" s="25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>
      <c r="A100" s="25"/>
      <c r="B100" s="25"/>
      <c r="C100" s="25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>
      <c r="A101" s="25"/>
      <c r="B101" s="25"/>
      <c r="C101" s="25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>
      <c r="A102" s="25"/>
      <c r="B102" s="25"/>
      <c r="C102" s="25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>
      <c r="A103" s="25"/>
      <c r="B103" s="25"/>
      <c r="C103" s="25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>
      <c r="A104" s="25"/>
      <c r="B104" s="25"/>
      <c r="C104" s="25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>
      <c r="A105" s="25"/>
      <c r="B105" s="25"/>
      <c r="C105" s="25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>
      <c r="A106" s="25"/>
      <c r="B106" s="25"/>
      <c r="C106" s="25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>
      <c r="A107" s="25"/>
      <c r="B107" s="25"/>
      <c r="C107" s="25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>
      <c r="A108" s="25"/>
      <c r="B108" s="25"/>
      <c r="C108" s="25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>
      <c r="A109" s="25"/>
      <c r="B109" s="25"/>
      <c r="C109" s="25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>
      <c r="A110" s="25"/>
      <c r="B110" s="25"/>
      <c r="C110" s="25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>
      <c r="A111" s="25"/>
      <c r="B111" s="25"/>
      <c r="C111" s="25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>
      <c r="A112" s="25"/>
      <c r="B112" s="25"/>
      <c r="C112" s="25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>
      <c r="A113" s="25"/>
      <c r="B113" s="25"/>
      <c r="C113" s="25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>
      <c r="A114" s="25"/>
      <c r="B114" s="25"/>
      <c r="C114" s="25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>
      <c r="A115" s="25"/>
      <c r="B115" s="25"/>
      <c r="C115" s="25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>
      <c r="A116" s="25"/>
      <c r="B116" s="25"/>
      <c r="C116" s="25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>
      <c r="A117" s="25"/>
      <c r="B117" s="25"/>
      <c r="C117" s="25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>
      <c r="A118" s="25"/>
      <c r="B118" s="25"/>
      <c r="C118" s="25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>
      <c r="A119" s="25"/>
      <c r="B119" s="25"/>
      <c r="C119" s="25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>
      <c r="A120" s="25"/>
      <c r="B120" s="25"/>
      <c r="C120" s="25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>
      <c r="A121" s="25"/>
      <c r="B121" s="25"/>
      <c r="C121" s="25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>
      <c r="A122" s="25"/>
      <c r="B122" s="25"/>
      <c r="C122" s="25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>
      <c r="A123" s="25"/>
      <c r="B123" s="25"/>
      <c r="C123" s="25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>
      <c r="A124" s="25"/>
      <c r="B124" s="25"/>
      <c r="C124" s="25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>
      <c r="A125" s="25"/>
      <c r="B125" s="25"/>
      <c r="C125" s="25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>
      <c r="A126" s="25"/>
      <c r="B126" s="25"/>
      <c r="C126" s="25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>
      <c r="A127" s="25"/>
      <c r="B127" s="25"/>
      <c r="C127" s="25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>
      <c r="A128" s="25"/>
      <c r="B128" s="25"/>
      <c r="C128" s="25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>
      <c r="A129" s="25"/>
      <c r="B129" s="25"/>
      <c r="C129" s="25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>
      <c r="A130" s="25"/>
      <c r="B130" s="25"/>
      <c r="C130" s="25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>
      <c r="A131" s="25"/>
      <c r="B131" s="25"/>
      <c r="C131" s="25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>
      <c r="A132" s="25"/>
      <c r="B132" s="25"/>
      <c r="C132" s="25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>
      <c r="A133" s="25"/>
      <c r="B133" s="25"/>
      <c r="C133" s="25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>
      <c r="A134" s="25"/>
      <c r="B134" s="25"/>
      <c r="C134" s="25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>
      <c r="A135" s="25"/>
      <c r="B135" s="25"/>
      <c r="C135" s="25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>
      <c r="A136" s="25"/>
      <c r="B136" s="25"/>
      <c r="C136" s="25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>
      <c r="A137" s="25"/>
      <c r="B137" s="25"/>
      <c r="C137" s="25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>
      <c r="A138" s="25"/>
      <c r="B138" s="25"/>
      <c r="C138" s="25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>
      <c r="A139" s="25"/>
      <c r="B139" s="25"/>
      <c r="C139" s="25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>
      <c r="A140" s="25"/>
      <c r="B140" s="25"/>
      <c r="C140" s="25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>
      <c r="A141" s="25"/>
      <c r="B141" s="25"/>
      <c r="C141" s="25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>
      <c r="A142" s="25"/>
      <c r="B142" s="25"/>
      <c r="C142" s="25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>
      <c r="A143" s="25"/>
      <c r="B143" s="25"/>
      <c r="C143" s="25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>
      <c r="A144" s="25"/>
      <c r="B144" s="25"/>
      <c r="C144" s="25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>
      <c r="A145" s="25"/>
      <c r="B145" s="25"/>
      <c r="C145" s="25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>
      <c r="A146" s="25"/>
      <c r="B146" s="25"/>
      <c r="C146" s="25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>
      <c r="A147" s="25"/>
      <c r="B147" s="25"/>
      <c r="C147" s="25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>
      <c r="A148" s="25"/>
      <c r="B148" s="25"/>
      <c r="C148" s="25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>
      <c r="A149" s="25"/>
      <c r="B149" s="25"/>
      <c r="C149" s="25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>
      <c r="A150" s="25"/>
      <c r="B150" s="25"/>
      <c r="C150" s="25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>
      <c r="A151" s="25"/>
      <c r="B151" s="25"/>
      <c r="C151" s="25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>
      <c r="A152" s="25"/>
      <c r="B152" s="25"/>
      <c r="C152" s="25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>
      <c r="A153" s="25"/>
      <c r="B153" s="25"/>
      <c r="C153" s="25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>
      <c r="A154" s="25"/>
      <c r="B154" s="25"/>
      <c r="C154" s="25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>
      <c r="A155" s="25"/>
      <c r="B155" s="25"/>
      <c r="C155" s="25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>
      <c r="A156" s="25"/>
      <c r="B156" s="25"/>
      <c r="C156" s="25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>
      <c r="A157" s="25"/>
      <c r="B157" s="25"/>
      <c r="C157" s="25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>
      <c r="A158" s="25"/>
      <c r="B158" s="25"/>
      <c r="C158" s="25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>
      <c r="A159" s="25"/>
      <c r="B159" s="25"/>
      <c r="C159" s="25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>
      <c r="A160" s="25"/>
      <c r="B160" s="25"/>
      <c r="C160" s="25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>
      <c r="A161" s="25"/>
      <c r="B161" s="25"/>
      <c r="C161" s="25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>
      <c r="A162" s="25"/>
      <c r="B162" s="25"/>
      <c r="C162" s="25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>
      <c r="A163" s="25"/>
      <c r="B163" s="25"/>
      <c r="C163" s="25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>
      <c r="A164" s="25"/>
      <c r="B164" s="25"/>
      <c r="C164" s="25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>
      <c r="A165" s="25"/>
      <c r="B165" s="25"/>
      <c r="C165" s="25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>
      <c r="A166" s="25"/>
      <c r="B166" s="25"/>
      <c r="C166" s="25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>
      <c r="A167" s="25"/>
      <c r="B167" s="25"/>
      <c r="C167" s="25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>
      <c r="A168" s="25"/>
      <c r="B168" s="25"/>
      <c r="C168" s="25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>
      <c r="A169" s="25"/>
      <c r="B169" s="25"/>
      <c r="C169" s="25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>
      <c r="A170" s="25"/>
      <c r="B170" s="25"/>
      <c r="C170" s="25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>
      <c r="A171" s="25"/>
      <c r="B171" s="25"/>
      <c r="C171" s="25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>
      <c r="A172" s="25"/>
      <c r="B172" s="25"/>
      <c r="C172" s="25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>
      <c r="A173" s="25"/>
      <c r="B173" s="25"/>
      <c r="C173" s="25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>
      <c r="A174" s="25"/>
      <c r="B174" s="25"/>
      <c r="C174" s="25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>
      <c r="A175" s="25"/>
      <c r="B175" s="25"/>
      <c r="C175" s="25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>
      <c r="A176" s="25"/>
      <c r="B176" s="25"/>
      <c r="C176" s="25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>
      <c r="A177" s="25"/>
      <c r="B177" s="25"/>
      <c r="C177" s="25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>
      <c r="A178" s="25"/>
      <c r="B178" s="25"/>
      <c r="C178" s="25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>
      <c r="A179" s="25"/>
      <c r="B179" s="25"/>
      <c r="C179" s="25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>
      <c r="A180" s="25"/>
      <c r="B180" s="25"/>
      <c r="C180" s="25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>
      <c r="A181" s="25"/>
      <c r="B181" s="25"/>
      <c r="C181" s="25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>
      <c r="A182" s="25"/>
      <c r="B182" s="25"/>
      <c r="C182" s="25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>
      <c r="A183" s="25"/>
      <c r="B183" s="25"/>
      <c r="C183" s="25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>
      <c r="A184" s="25"/>
      <c r="B184" s="25"/>
      <c r="C184" s="25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>
      <c r="A185" s="25"/>
      <c r="B185" s="25"/>
      <c r="C185" s="25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>
      <c r="A186" s="25"/>
      <c r="B186" s="25"/>
      <c r="C186" s="25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>
      <c r="A187" s="25"/>
      <c r="B187" s="25"/>
      <c r="C187" s="25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>
      <c r="A188" s="25"/>
      <c r="B188" s="25"/>
      <c r="C188" s="25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>
      <c r="A189" s="25"/>
      <c r="B189" s="25"/>
      <c r="C189" s="25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>
      <c r="A190" s="25"/>
      <c r="B190" s="25"/>
      <c r="C190" s="25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>
      <c r="A191" s="25"/>
      <c r="B191" s="25"/>
      <c r="C191" s="25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>
      <c r="A192" s="25"/>
      <c r="B192" s="25"/>
      <c r="C192" s="25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>
      <c r="A193" s="25"/>
      <c r="B193" s="25"/>
      <c r="C193" s="25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>
      <c r="A194" s="25"/>
      <c r="B194" s="25"/>
      <c r="C194" s="25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>
      <c r="A195" s="25"/>
      <c r="B195" s="25"/>
      <c r="C195" s="25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>
      <c r="A196" s="25"/>
      <c r="B196" s="25"/>
      <c r="C196" s="25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>
      <c r="A197" s="25"/>
      <c r="B197" s="25"/>
      <c r="C197" s="25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>
      <c r="A198" s="25"/>
      <c r="B198" s="25"/>
      <c r="C198" s="25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>
      <c r="A199" s="25"/>
      <c r="B199" s="25"/>
      <c r="C199" s="25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>
      <c r="A200" s="25"/>
      <c r="B200" s="25"/>
      <c r="C200" s="25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>
      <c r="A201" s="25"/>
      <c r="B201" s="25"/>
      <c r="C201" s="25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>
      <c r="A202" s="25"/>
      <c r="B202" s="25"/>
      <c r="C202" s="25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>
      <c r="A203" s="25"/>
      <c r="B203" s="25"/>
      <c r="C203" s="25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>
      <c r="A204" s="25"/>
      <c r="B204" s="25"/>
      <c r="C204" s="25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>
      <c r="A205" s="25"/>
      <c r="B205" s="25"/>
      <c r="C205" s="25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>
      <c r="A206" s="25"/>
      <c r="B206" s="25"/>
      <c r="C206" s="25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>
      <c r="A207" s="25"/>
      <c r="B207" s="25"/>
      <c r="C207" s="25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>
      <c r="A208" s="25"/>
      <c r="B208" s="25"/>
      <c r="C208" s="25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>
      <c r="A209" s="25"/>
      <c r="B209" s="25"/>
      <c r="C209" s="25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>
      <c r="A210" s="25"/>
      <c r="B210" s="25"/>
      <c r="C210" s="25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>
      <c r="A211" s="25"/>
      <c r="B211" s="25"/>
      <c r="C211" s="25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>
      <c r="A212" s="25"/>
      <c r="B212" s="25"/>
      <c r="C212" s="25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>
      <c r="A213" s="25"/>
      <c r="B213" s="25"/>
      <c r="C213" s="25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>
      <c r="A214" s="25"/>
      <c r="B214" s="25"/>
      <c r="C214" s="25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>
      <c r="A215" s="25"/>
      <c r="B215" s="25"/>
      <c r="C215" s="25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>
      <c r="A216" s="25"/>
      <c r="B216" s="25"/>
      <c r="C216" s="25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>
      <c r="A217" s="25"/>
      <c r="B217" s="25"/>
      <c r="C217" s="25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>
      <c r="A218" s="25"/>
      <c r="B218" s="25"/>
      <c r="C218" s="25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>
      <c r="A219" s="25"/>
      <c r="B219" s="25"/>
      <c r="C219" s="25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>
      <c r="A220" s="25"/>
      <c r="B220" s="25"/>
      <c r="C220" s="25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>
      <c r="A221" s="25"/>
      <c r="B221" s="25"/>
      <c r="C221" s="25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>
      <c r="A222" s="25"/>
      <c r="B222" s="25"/>
      <c r="C222" s="25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>
      <c r="A223" s="25"/>
      <c r="B223" s="25"/>
      <c r="C223" s="25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>
      <c r="A224" s="25"/>
      <c r="B224" s="25"/>
      <c r="C224" s="25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>
      <c r="A225" s="25"/>
      <c r="B225" s="25"/>
      <c r="C225" s="25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>
      <c r="A226" s="25"/>
      <c r="B226" s="25"/>
      <c r="C226" s="25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>
      <c r="A227" s="25"/>
      <c r="B227" s="25"/>
      <c r="C227" s="25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>
      <c r="A228" s="25"/>
      <c r="B228" s="25"/>
      <c r="C228" s="25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>
      <c r="A229" s="25"/>
      <c r="B229" s="25"/>
      <c r="C229" s="25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>
      <c r="A230" s="25"/>
      <c r="B230" s="25"/>
      <c r="C230" s="25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>
      <c r="A231" s="25"/>
      <c r="B231" s="25"/>
      <c r="C231" s="25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>
      <c r="A232" s="25"/>
      <c r="B232" s="25"/>
      <c r="C232" s="25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>
      <c r="A233" s="25"/>
      <c r="B233" s="25"/>
      <c r="C233" s="25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>
      <c r="A234" s="25"/>
      <c r="B234" s="25"/>
      <c r="C234" s="25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>
      <c r="A235" s="25"/>
      <c r="B235" s="25"/>
      <c r="C235" s="25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>
      <c r="A236" s="25"/>
      <c r="B236" s="25"/>
      <c r="C236" s="25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>
      <c r="A237" s="25"/>
      <c r="B237" s="25"/>
      <c r="C237" s="25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>
      <c r="A238" s="25"/>
      <c r="B238" s="25"/>
      <c r="C238" s="25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>
      <c r="A239" s="25"/>
      <c r="B239" s="25"/>
      <c r="C239" s="25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>
      <c r="A240" s="25"/>
      <c r="B240" s="25"/>
      <c r="C240" s="25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>
      <c r="A241" s="25"/>
      <c r="B241" s="25"/>
      <c r="C241" s="25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>
      <c r="A242" s="25"/>
      <c r="B242" s="25"/>
      <c r="C242" s="25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>
      <c r="A243" s="25"/>
      <c r="B243" s="25"/>
      <c r="C243" s="25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>
      <c r="A244" s="25"/>
      <c r="B244" s="25"/>
      <c r="C244" s="25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>
      <c r="A245" s="25"/>
      <c r="B245" s="25"/>
      <c r="C245" s="25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>
      <c r="A246" s="25"/>
      <c r="B246" s="25"/>
      <c r="C246" s="25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>
      <c r="A247" s="25"/>
      <c r="B247" s="25"/>
      <c r="C247" s="25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>
      <c r="A248" s="25"/>
      <c r="B248" s="25"/>
      <c r="C248" s="25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>
      <c r="A249" s="25"/>
      <c r="B249" s="25"/>
      <c r="C249" s="25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>
      <c r="A250" s="25"/>
      <c r="B250" s="25"/>
      <c r="C250" s="25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>
      <c r="A251" s="25"/>
      <c r="B251" s="25"/>
      <c r="C251" s="25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>
      <c r="A252" s="25"/>
      <c r="B252" s="25"/>
      <c r="C252" s="25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>
      <c r="A253" s="25"/>
      <c r="B253" s="25"/>
      <c r="C253" s="25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>
      <c r="A254" s="25"/>
      <c r="B254" s="25"/>
      <c r="C254" s="25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>
      <c r="A255" s="25"/>
      <c r="B255" s="25"/>
      <c r="C255" s="25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>
      <c r="A256" s="25"/>
      <c r="B256" s="25"/>
      <c r="C256" s="25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>
      <c r="A257" s="25"/>
      <c r="B257" s="25"/>
      <c r="C257" s="25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>
      <c r="A258" s="25"/>
      <c r="B258" s="25"/>
      <c r="C258" s="25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>
      <c r="A259" s="25"/>
      <c r="B259" s="25"/>
      <c r="C259" s="25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>
      <c r="A260" s="25"/>
      <c r="B260" s="25"/>
      <c r="C260" s="25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>
      <c r="A261" s="25"/>
      <c r="B261" s="25"/>
      <c r="C261" s="25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>
      <c r="A262" s="25"/>
      <c r="B262" s="25"/>
      <c r="C262" s="25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>
      <c r="A263" s="25"/>
      <c r="B263" s="25"/>
      <c r="C263" s="25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>
      <c r="A264" s="25"/>
      <c r="B264" s="25"/>
      <c r="C264" s="25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>
      <c r="A265" s="25"/>
      <c r="B265" s="25"/>
      <c r="C265" s="25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>
      <c r="A266" s="25"/>
      <c r="B266" s="25"/>
      <c r="C266" s="25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>
      <c r="A267" s="25"/>
      <c r="B267" s="25"/>
      <c r="C267" s="25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>
      <c r="A268" s="25"/>
      <c r="B268" s="25"/>
      <c r="C268" s="25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>
      <c r="A269" s="25"/>
      <c r="B269" s="25"/>
      <c r="C269" s="25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>
      <c r="A270" s="25"/>
      <c r="B270" s="25"/>
      <c r="C270" s="25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>
      <c r="A271" s="25"/>
      <c r="B271" s="25"/>
      <c r="C271" s="25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>
      <c r="A272" s="25"/>
      <c r="B272" s="25"/>
      <c r="C272" s="25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>
      <c r="A273" s="25"/>
      <c r="B273" s="25"/>
      <c r="C273" s="25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>
      <c r="A274" s="25"/>
      <c r="B274" s="25"/>
      <c r="C274" s="25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>
      <c r="A275" s="25"/>
      <c r="B275" s="25"/>
      <c r="C275" s="25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>
      <c r="A276" s="25"/>
      <c r="B276" s="25"/>
      <c r="C276" s="25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>
      <c r="A277" s="25"/>
      <c r="B277" s="25"/>
      <c r="C277" s="25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>
      <c r="A278" s="25"/>
      <c r="B278" s="25"/>
      <c r="C278" s="25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>
      <c r="A279" s="25"/>
      <c r="B279" s="25"/>
      <c r="C279" s="25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>
      <c r="A280" s="25"/>
      <c r="B280" s="25"/>
      <c r="C280" s="25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>
      <c r="A281" s="25"/>
      <c r="B281" s="25"/>
      <c r="C281" s="25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>
      <c r="A282" s="25"/>
      <c r="B282" s="25"/>
      <c r="C282" s="25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>
      <c r="A283" s="25"/>
      <c r="B283" s="25"/>
      <c r="C283" s="25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>
      <c r="A284" s="25"/>
      <c r="B284" s="25"/>
      <c r="C284" s="25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>
      <c r="A285" s="25"/>
      <c r="B285" s="25"/>
      <c r="C285" s="25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>
      <c r="A286" s="25"/>
      <c r="B286" s="25"/>
      <c r="C286" s="25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>
      <c r="A287" s="25"/>
      <c r="B287" s="25"/>
      <c r="C287" s="25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>
      <c r="A288" s="25"/>
      <c r="B288" s="25"/>
      <c r="C288" s="25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>
      <c r="A289" s="25"/>
      <c r="B289" s="25"/>
      <c r="C289" s="25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>
      <c r="A290" s="25"/>
      <c r="B290" s="25"/>
      <c r="C290" s="25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>
      <c r="A291" s="25"/>
      <c r="B291" s="25"/>
      <c r="C291" s="25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>
      <c r="A292" s="25"/>
      <c r="B292" s="25"/>
      <c r="C292" s="25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>
      <c r="A293" s="25"/>
      <c r="B293" s="25"/>
      <c r="C293" s="25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>
      <c r="A294" s="25"/>
      <c r="B294" s="25"/>
      <c r="C294" s="25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>
      <c r="A295" s="25"/>
      <c r="B295" s="25"/>
      <c r="C295" s="25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>
      <c r="A296" s="25"/>
      <c r="B296" s="25"/>
      <c r="C296" s="25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>
      <c r="A297" s="25"/>
      <c r="B297" s="25"/>
      <c r="C297" s="25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>
      <c r="A298" s="25"/>
      <c r="B298" s="25"/>
      <c r="C298" s="25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>
      <c r="A299" s="25"/>
      <c r="B299" s="25"/>
      <c r="C299" s="25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>
      <c r="A300" s="25"/>
      <c r="B300" s="25"/>
      <c r="C300" s="25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>
      <c r="A301" s="25"/>
      <c r="B301" s="25"/>
      <c r="C301" s="25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>
      <c r="A302" s="25"/>
      <c r="B302" s="25"/>
      <c r="C302" s="25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>
      <c r="A303" s="25"/>
      <c r="B303" s="25"/>
      <c r="C303" s="25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>
      <c r="A304" s="25"/>
      <c r="B304" s="25"/>
      <c r="C304" s="25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>
      <c r="A305" s="25"/>
      <c r="B305" s="25"/>
      <c r="C305" s="25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>
      <c r="A306" s="25"/>
      <c r="B306" s="25"/>
      <c r="C306" s="25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>
      <c r="A307" s="25"/>
      <c r="B307" s="25"/>
      <c r="C307" s="25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>
      <c r="A308" s="25"/>
      <c r="B308" s="25"/>
      <c r="C308" s="25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>
      <c r="A309" s="25"/>
      <c r="B309" s="25"/>
      <c r="C309" s="25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>
      <c r="A310" s="25"/>
      <c r="B310" s="25"/>
      <c r="C310" s="25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>
      <c r="A311" s="25"/>
      <c r="B311" s="25"/>
      <c r="C311" s="25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>
      <c r="A312" s="25"/>
      <c r="B312" s="25"/>
      <c r="C312" s="25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>
      <c r="A313" s="25"/>
      <c r="B313" s="25"/>
      <c r="C313" s="25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>
      <c r="A314" s="25"/>
      <c r="B314" s="25"/>
      <c r="C314" s="25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>
      <c r="A315" s="25"/>
      <c r="B315" s="25"/>
      <c r="C315" s="25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>
      <c r="A316" s="25"/>
      <c r="B316" s="25"/>
      <c r="C316" s="25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>
      <c r="A317" s="25"/>
      <c r="B317" s="25"/>
      <c r="C317" s="25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>
      <c r="A318" s="25"/>
      <c r="B318" s="25"/>
      <c r="C318" s="25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>
      <c r="A319" s="25"/>
      <c r="B319" s="25"/>
      <c r="C319" s="25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>
      <c r="A320" s="25"/>
      <c r="B320" s="25"/>
      <c r="C320" s="25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>
      <c r="A321" s="25"/>
      <c r="B321" s="25"/>
      <c r="C321" s="25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>
      <c r="A322" s="25"/>
      <c r="B322" s="25"/>
      <c r="C322" s="25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>
      <c r="A323" s="25"/>
      <c r="B323" s="25"/>
      <c r="C323" s="25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>
      <c r="A324" s="25"/>
      <c r="B324" s="25"/>
      <c r="C324" s="25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>
      <c r="A325" s="25"/>
      <c r="B325" s="25"/>
      <c r="C325" s="25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>
      <c r="A326" s="25"/>
      <c r="B326" s="25"/>
      <c r="C326" s="25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>
      <c r="A327" s="25"/>
      <c r="B327" s="25"/>
      <c r="C327" s="25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>
      <c r="A328" s="25"/>
      <c r="B328" s="25"/>
      <c r="C328" s="25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>
      <c r="A329" s="25"/>
      <c r="B329" s="25"/>
      <c r="C329" s="25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>
      <c r="A330" s="25"/>
      <c r="B330" s="25"/>
      <c r="C330" s="25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>
      <c r="A331" s="25"/>
      <c r="B331" s="25"/>
      <c r="C331" s="25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>
      <c r="A332" s="25"/>
      <c r="B332" s="25"/>
      <c r="C332" s="25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>
      <c r="A333" s="25"/>
      <c r="B333" s="25"/>
      <c r="C333" s="25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>
      <c r="A334" s="25"/>
      <c r="B334" s="25"/>
      <c r="C334" s="25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>
      <c r="A335" s="25"/>
      <c r="B335" s="25"/>
      <c r="C335" s="25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>
      <c r="A336" s="25"/>
      <c r="B336" s="25"/>
      <c r="C336" s="25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>
      <c r="A337" s="25"/>
      <c r="B337" s="25"/>
      <c r="C337" s="25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>
      <c r="A338" s="25"/>
      <c r="B338" s="25"/>
      <c r="C338" s="25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>
      <c r="A339" s="25"/>
      <c r="B339" s="25"/>
      <c r="C339" s="25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>
      <c r="A340" s="25"/>
      <c r="B340" s="25"/>
      <c r="C340" s="25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>
      <c r="A341" s="25"/>
      <c r="B341" s="25"/>
      <c r="C341" s="25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>
      <c r="A342" s="25"/>
      <c r="B342" s="25"/>
      <c r="C342" s="25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>
      <c r="A343" s="25"/>
      <c r="B343" s="25"/>
      <c r="C343" s="25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>
      <c r="A344" s="25"/>
      <c r="B344" s="25"/>
      <c r="C344" s="25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>
      <c r="A345" s="25"/>
      <c r="B345" s="25"/>
      <c r="C345" s="25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>
      <c r="A346" s="25"/>
      <c r="B346" s="25"/>
      <c r="C346" s="25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>
      <c r="A347" s="25"/>
      <c r="B347" s="25"/>
      <c r="C347" s="25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>
      <c r="A348" s="25"/>
      <c r="B348" s="25"/>
      <c r="C348" s="25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>
      <c r="A349" s="25"/>
      <c r="B349" s="25"/>
      <c r="C349" s="25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>
      <c r="A350" s="25"/>
      <c r="B350" s="25"/>
      <c r="C350" s="25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>
      <c r="A351" s="25"/>
      <c r="B351" s="25"/>
      <c r="C351" s="25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>
      <c r="A352" s="25"/>
      <c r="B352" s="25"/>
      <c r="C352" s="25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>
      <c r="A353" s="25"/>
      <c r="B353" s="25"/>
      <c r="C353" s="25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>
      <c r="A354" s="25"/>
      <c r="B354" s="25"/>
      <c r="C354" s="25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>
      <c r="A355" s="25"/>
      <c r="B355" s="25"/>
      <c r="C355" s="25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>
      <c r="A356" s="25"/>
      <c r="B356" s="25"/>
      <c r="C356" s="25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>
      <c r="A357" s="25"/>
      <c r="B357" s="25"/>
      <c r="C357" s="25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>
      <c r="A358" s="25"/>
      <c r="B358" s="25"/>
      <c r="C358" s="25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>
      <c r="A359" s="25"/>
      <c r="B359" s="25"/>
      <c r="C359" s="25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>
      <c r="A360" s="25"/>
      <c r="B360" s="25"/>
      <c r="C360" s="25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>
      <c r="A361" s="25"/>
      <c r="B361" s="25"/>
      <c r="C361" s="25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>
      <c r="A362" s="25"/>
      <c r="B362" s="25"/>
      <c r="C362" s="25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>
      <c r="A363" s="25"/>
      <c r="B363" s="25"/>
      <c r="C363" s="25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>
      <c r="A364" s="25"/>
      <c r="B364" s="25"/>
      <c r="C364" s="25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>
      <c r="A365" s="25"/>
      <c r="B365" s="25"/>
      <c r="C365" s="25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>
      <c r="A366" s="25"/>
      <c r="B366" s="25"/>
      <c r="C366" s="25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>
      <c r="A367" s="25"/>
      <c r="B367" s="25"/>
      <c r="C367" s="25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>
      <c r="A368" s="25"/>
      <c r="B368" s="25"/>
      <c r="C368" s="25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>
      <c r="A369" s="25"/>
      <c r="B369" s="25"/>
      <c r="C369" s="25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>
      <c r="A370" s="25"/>
      <c r="B370" s="25"/>
      <c r="C370" s="25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>
      <c r="A371" s="25"/>
      <c r="B371" s="25"/>
      <c r="C371" s="25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>
      <c r="A372" s="25"/>
      <c r="B372" s="25"/>
      <c r="C372" s="25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>
      <c r="A373" s="25"/>
      <c r="B373" s="25"/>
      <c r="C373" s="25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>
      <c r="A374" s="25"/>
      <c r="B374" s="25"/>
      <c r="C374" s="25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>
      <c r="A375" s="25"/>
      <c r="B375" s="25"/>
      <c r="C375" s="25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>
      <c r="A376" s="25"/>
      <c r="B376" s="25"/>
      <c r="C376" s="25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>
      <c r="A377" s="25"/>
      <c r="B377" s="25"/>
      <c r="C377" s="25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>
      <c r="A378" s="25"/>
      <c r="B378" s="25"/>
      <c r="C378" s="25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>
      <c r="A379" s="25"/>
      <c r="B379" s="25"/>
      <c r="C379" s="25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>
      <c r="A380" s="25"/>
      <c r="B380" s="25"/>
      <c r="C380" s="25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>
      <c r="A381" s="25"/>
      <c r="B381" s="25"/>
      <c r="C381" s="25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>
      <c r="A382" s="25"/>
      <c r="B382" s="25"/>
      <c r="C382" s="25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>
      <c r="A383" s="25"/>
      <c r="B383" s="25"/>
      <c r="C383" s="25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>
      <c r="A384" s="25"/>
      <c r="B384" s="25"/>
      <c r="C384" s="25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>
      <c r="A385" s="25"/>
      <c r="B385" s="25"/>
      <c r="C385" s="25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>
      <c r="A386" s="25"/>
      <c r="B386" s="25"/>
      <c r="C386" s="25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>
      <c r="A387" s="25"/>
      <c r="B387" s="25"/>
      <c r="C387" s="25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>
      <c r="A388" s="25"/>
      <c r="B388" s="25"/>
      <c r="C388" s="25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>
      <c r="A389" s="25"/>
      <c r="B389" s="25"/>
      <c r="C389" s="25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>
      <c r="A390" s="25"/>
      <c r="B390" s="25"/>
      <c r="C390" s="25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>
      <c r="A391" s="25"/>
      <c r="B391" s="25"/>
      <c r="C391" s="25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>
      <c r="A392" s="25"/>
      <c r="B392" s="25"/>
      <c r="C392" s="25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>
      <c r="A393" s="25"/>
      <c r="B393" s="25"/>
      <c r="C393" s="25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>
      <c r="A394" s="25"/>
      <c r="B394" s="25"/>
      <c r="C394" s="25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>
      <c r="A395" s="25"/>
      <c r="B395" s="25"/>
      <c r="C395" s="25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>
      <c r="A396" s="25"/>
      <c r="B396" s="25"/>
      <c r="C396" s="25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>
      <c r="A397" s="25"/>
      <c r="B397" s="25"/>
      <c r="C397" s="25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>
      <c r="A398" s="25"/>
      <c r="B398" s="25"/>
      <c r="C398" s="25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>
      <c r="A399" s="25"/>
      <c r="B399" s="25"/>
      <c r="C399" s="25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>
      <c r="A400" s="25"/>
      <c r="B400" s="25"/>
      <c r="C400" s="25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>
      <c r="A401" s="25"/>
      <c r="B401" s="25"/>
      <c r="C401" s="25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>
      <c r="A402" s="25"/>
      <c r="B402" s="25"/>
      <c r="C402" s="25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>
      <c r="A403" s="25"/>
      <c r="B403" s="25"/>
      <c r="C403" s="25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>
      <c r="A404" s="25"/>
      <c r="B404" s="25"/>
      <c r="C404" s="25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>
      <c r="A405" s="25"/>
      <c r="B405" s="25"/>
      <c r="C405" s="25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>
      <c r="A406" s="25"/>
      <c r="B406" s="25"/>
      <c r="C406" s="25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>
      <c r="A407" s="25"/>
      <c r="B407" s="25"/>
      <c r="C407" s="25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>
      <c r="A408" s="25"/>
      <c r="B408" s="25"/>
      <c r="C408" s="25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>
      <c r="A409" s="25"/>
      <c r="B409" s="25"/>
      <c r="C409" s="25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>
      <c r="A410" s="25"/>
      <c r="B410" s="25"/>
      <c r="C410" s="25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>
      <c r="A411" s="25"/>
      <c r="B411" s="25"/>
      <c r="C411" s="25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>
      <c r="A412" s="25"/>
      <c r="B412" s="25"/>
      <c r="C412" s="25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>
      <c r="A413" s="25"/>
      <c r="B413" s="25"/>
      <c r="C413" s="25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>
      <c r="A414" s="25"/>
      <c r="B414" s="25"/>
      <c r="C414" s="25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>
      <c r="A415" s="25"/>
      <c r="B415" s="25"/>
      <c r="C415" s="25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>
      <c r="A416" s="25"/>
      <c r="B416" s="25"/>
      <c r="C416" s="25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>
      <c r="A417" s="25"/>
      <c r="B417" s="25"/>
      <c r="C417" s="25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>
      <c r="A418" s="25"/>
      <c r="B418" s="25"/>
      <c r="C418" s="25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>
      <c r="A419" s="25"/>
      <c r="B419" s="25"/>
      <c r="C419" s="25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>
      <c r="A420" s="25"/>
      <c r="B420" s="25"/>
      <c r="C420" s="25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>
      <c r="A421" s="25"/>
      <c r="B421" s="25"/>
      <c r="C421" s="25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>
      <c r="A422" s="25"/>
      <c r="B422" s="25"/>
      <c r="C422" s="25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>
      <c r="A423" s="25"/>
      <c r="B423" s="25"/>
      <c r="C423" s="25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>
      <c r="A424" s="25"/>
      <c r="B424" s="25"/>
      <c r="C424" s="25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>
      <c r="A425" s="25"/>
      <c r="B425" s="25"/>
      <c r="C425" s="25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>
      <c r="A426" s="25"/>
      <c r="B426" s="25"/>
      <c r="C426" s="25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>
      <c r="A427" s="25"/>
      <c r="B427" s="25"/>
      <c r="C427" s="25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>
      <c r="A428" s="25"/>
      <c r="B428" s="25"/>
      <c r="C428" s="25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>
      <c r="A429" s="25"/>
      <c r="B429" s="25"/>
      <c r="C429" s="25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>
      <c r="A430" s="25"/>
      <c r="B430" s="25"/>
      <c r="C430" s="25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>
      <c r="A431" s="25"/>
      <c r="B431" s="25"/>
      <c r="C431" s="25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>
      <c r="A432" s="25"/>
      <c r="B432" s="25"/>
      <c r="C432" s="25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>
      <c r="A433" s="25"/>
      <c r="B433" s="25"/>
      <c r="C433" s="25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>
      <c r="A434" s="25"/>
      <c r="B434" s="25"/>
      <c r="C434" s="25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>
      <c r="A435" s="25"/>
      <c r="B435" s="25"/>
      <c r="C435" s="25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>
      <c r="A436" s="25"/>
      <c r="B436" s="25"/>
      <c r="C436" s="25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>
      <c r="A437" s="25"/>
      <c r="B437" s="25"/>
      <c r="C437" s="25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>
      <c r="A438" s="25"/>
      <c r="B438" s="25"/>
      <c r="C438" s="25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>
      <c r="A439" s="25"/>
      <c r="B439" s="25"/>
      <c r="C439" s="25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>
      <c r="A440" s="25"/>
      <c r="B440" s="25"/>
      <c r="C440" s="25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>
      <c r="A441" s="25"/>
      <c r="B441" s="25"/>
      <c r="C441" s="25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>
      <c r="A442" s="25"/>
      <c r="B442" s="25"/>
      <c r="C442" s="25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>
      <c r="A443" s="25"/>
      <c r="B443" s="25"/>
      <c r="C443" s="25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>
      <c r="A444" s="25"/>
      <c r="B444" s="25"/>
      <c r="C444" s="25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>
      <c r="A445" s="25"/>
      <c r="B445" s="25"/>
      <c r="C445" s="25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>
      <c r="A446" s="25"/>
      <c r="B446" s="25"/>
      <c r="C446" s="25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>
      <c r="A447" s="25"/>
      <c r="B447" s="25"/>
      <c r="C447" s="25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>
      <c r="A448" s="25"/>
      <c r="B448" s="25"/>
      <c r="C448" s="25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>
      <c r="A449" s="25"/>
      <c r="B449" s="25"/>
      <c r="C449" s="25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>
      <c r="A450" s="25"/>
      <c r="B450" s="25"/>
      <c r="C450" s="25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>
      <c r="A451" s="25"/>
      <c r="B451" s="25"/>
      <c r="C451" s="25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>
      <c r="A452" s="25"/>
      <c r="B452" s="25"/>
      <c r="C452" s="25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>
      <c r="A453" s="25"/>
      <c r="B453" s="25"/>
      <c r="C453" s="25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>
      <c r="A454" s="25"/>
      <c r="B454" s="25"/>
      <c r="C454" s="25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>
      <c r="A455" s="25"/>
      <c r="B455" s="25"/>
      <c r="C455" s="25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>
      <c r="A456" s="25"/>
      <c r="B456" s="25"/>
      <c r="C456" s="25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>
      <c r="A457" s="25"/>
      <c r="B457" s="25"/>
      <c r="C457" s="25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>
      <c r="A458" s="25"/>
      <c r="B458" s="25"/>
      <c r="C458" s="25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>
      <c r="A459" s="25"/>
      <c r="B459" s="25"/>
      <c r="C459" s="25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>
      <c r="A460" s="25"/>
      <c r="B460" s="25"/>
      <c r="C460" s="25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>
      <c r="A461" s="25"/>
      <c r="B461" s="25"/>
      <c r="C461" s="25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>
      <c r="A462" s="25"/>
      <c r="B462" s="25"/>
      <c r="C462" s="25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>
      <c r="A463" s="25"/>
      <c r="B463" s="25"/>
      <c r="C463" s="25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>
      <c r="A464" s="25"/>
      <c r="B464" s="25"/>
      <c r="C464" s="25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>
      <c r="A465" s="25"/>
      <c r="B465" s="25"/>
      <c r="C465" s="25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>
      <c r="A466" s="25"/>
      <c r="B466" s="25"/>
      <c r="C466" s="25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>
      <c r="A467" s="25"/>
      <c r="B467" s="25"/>
      <c r="C467" s="25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>
      <c r="A468" s="25"/>
      <c r="B468" s="25"/>
      <c r="C468" s="25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>
      <c r="A469" s="25"/>
      <c r="B469" s="25"/>
      <c r="C469" s="25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>
      <c r="A470" s="25"/>
      <c r="B470" s="25"/>
      <c r="C470" s="25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>
      <c r="A471" s="25"/>
      <c r="B471" s="25"/>
      <c r="C471" s="25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>
      <c r="A472" s="25"/>
      <c r="B472" s="25"/>
      <c r="C472" s="25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>
      <c r="A473" s="25"/>
      <c r="B473" s="25"/>
      <c r="C473" s="25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>
      <c r="A474" s="25"/>
      <c r="B474" s="25"/>
      <c r="C474" s="25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>
      <c r="A475" s="25"/>
      <c r="B475" s="25"/>
      <c r="C475" s="25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>
      <c r="A476" s="25"/>
      <c r="B476" s="25"/>
      <c r="C476" s="25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</row>
    <row r="477">
      <c r="A477" s="25"/>
      <c r="B477" s="25"/>
      <c r="C477" s="25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>
      <c r="A478" s="25"/>
      <c r="B478" s="25"/>
      <c r="C478" s="25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>
      <c r="A479" s="25"/>
      <c r="B479" s="25"/>
      <c r="C479" s="25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>
      <c r="A480" s="25"/>
      <c r="B480" s="25"/>
      <c r="C480" s="25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>
      <c r="A481" s="25"/>
      <c r="B481" s="25"/>
      <c r="C481" s="25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>
      <c r="A482" s="25"/>
      <c r="B482" s="25"/>
      <c r="C482" s="25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>
      <c r="A483" s="25"/>
      <c r="B483" s="25"/>
      <c r="C483" s="25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>
      <c r="A484" s="25"/>
      <c r="B484" s="25"/>
      <c r="C484" s="25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>
      <c r="A485" s="25"/>
      <c r="B485" s="25"/>
      <c r="C485" s="25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>
      <c r="A486" s="25"/>
      <c r="B486" s="25"/>
      <c r="C486" s="25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>
      <c r="A487" s="25"/>
      <c r="B487" s="25"/>
      <c r="C487" s="25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>
      <c r="A488" s="25"/>
      <c r="B488" s="25"/>
      <c r="C488" s="25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>
      <c r="A489" s="25"/>
      <c r="B489" s="25"/>
      <c r="C489" s="25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>
      <c r="A490" s="25"/>
      <c r="B490" s="25"/>
      <c r="C490" s="25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>
      <c r="A491" s="25"/>
      <c r="B491" s="25"/>
      <c r="C491" s="25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>
      <c r="A492" s="25"/>
      <c r="B492" s="25"/>
      <c r="C492" s="25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>
      <c r="A493" s="25"/>
      <c r="B493" s="25"/>
      <c r="C493" s="25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>
      <c r="A494" s="25"/>
      <c r="B494" s="25"/>
      <c r="C494" s="25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>
      <c r="A495" s="25"/>
      <c r="B495" s="25"/>
      <c r="C495" s="25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>
      <c r="A496" s="25"/>
      <c r="B496" s="25"/>
      <c r="C496" s="25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>
      <c r="A497" s="25"/>
      <c r="B497" s="25"/>
      <c r="C497" s="25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>
      <c r="A498" s="25"/>
      <c r="B498" s="25"/>
      <c r="C498" s="25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>
      <c r="A499" s="25"/>
      <c r="B499" s="25"/>
      <c r="C499" s="25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>
      <c r="A500" s="25"/>
      <c r="B500" s="25"/>
      <c r="C500" s="25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>
      <c r="A501" s="25"/>
      <c r="B501" s="25"/>
      <c r="C501" s="25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>
      <c r="A502" s="25"/>
      <c r="B502" s="25"/>
      <c r="C502" s="25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>
      <c r="A503" s="25"/>
      <c r="B503" s="25"/>
      <c r="C503" s="25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>
      <c r="A504" s="25"/>
      <c r="B504" s="25"/>
      <c r="C504" s="25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>
      <c r="A505" s="25"/>
      <c r="B505" s="25"/>
      <c r="C505" s="25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>
      <c r="A506" s="25"/>
      <c r="B506" s="25"/>
      <c r="C506" s="25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>
      <c r="A507" s="25"/>
      <c r="B507" s="25"/>
      <c r="C507" s="25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>
      <c r="A508" s="25"/>
      <c r="B508" s="25"/>
      <c r="C508" s="25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>
      <c r="A509" s="25"/>
      <c r="B509" s="25"/>
      <c r="C509" s="25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>
      <c r="A510" s="25"/>
      <c r="B510" s="25"/>
      <c r="C510" s="25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>
      <c r="A511" s="25"/>
      <c r="B511" s="25"/>
      <c r="C511" s="25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>
      <c r="A512" s="25"/>
      <c r="B512" s="25"/>
      <c r="C512" s="25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>
      <c r="A513" s="25"/>
      <c r="B513" s="25"/>
      <c r="C513" s="25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>
      <c r="A514" s="25"/>
      <c r="B514" s="25"/>
      <c r="C514" s="25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>
      <c r="A515" s="25"/>
      <c r="B515" s="25"/>
      <c r="C515" s="25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>
      <c r="A516" s="25"/>
      <c r="B516" s="25"/>
      <c r="C516" s="25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>
      <c r="A517" s="25"/>
      <c r="B517" s="25"/>
      <c r="C517" s="25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>
      <c r="A518" s="25"/>
      <c r="B518" s="25"/>
      <c r="C518" s="25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>
      <c r="A519" s="25"/>
      <c r="B519" s="25"/>
      <c r="C519" s="25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>
      <c r="A520" s="25"/>
      <c r="B520" s="25"/>
      <c r="C520" s="25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>
      <c r="A521" s="25"/>
      <c r="B521" s="25"/>
      <c r="C521" s="25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>
      <c r="A522" s="25"/>
      <c r="B522" s="25"/>
      <c r="C522" s="25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>
      <c r="A523" s="25"/>
      <c r="B523" s="25"/>
      <c r="C523" s="25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</row>
    <row r="524">
      <c r="A524" s="25"/>
      <c r="B524" s="25"/>
      <c r="C524" s="25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</row>
    <row r="525">
      <c r="A525" s="25"/>
      <c r="B525" s="25"/>
      <c r="C525" s="25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>
      <c r="A526" s="25"/>
      <c r="B526" s="25"/>
      <c r="C526" s="25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>
      <c r="A527" s="25"/>
      <c r="B527" s="25"/>
      <c r="C527" s="25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</row>
    <row r="528">
      <c r="A528" s="25"/>
      <c r="B528" s="25"/>
      <c r="C528" s="25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>
      <c r="A529" s="25"/>
      <c r="B529" s="25"/>
      <c r="C529" s="25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>
      <c r="A530" s="25"/>
      <c r="B530" s="25"/>
      <c r="C530" s="25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>
      <c r="A531" s="25"/>
      <c r="B531" s="25"/>
      <c r="C531" s="25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>
      <c r="A532" s="25"/>
      <c r="B532" s="25"/>
      <c r="C532" s="25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>
      <c r="A533" s="25"/>
      <c r="B533" s="25"/>
      <c r="C533" s="25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>
      <c r="A534" s="25"/>
      <c r="B534" s="25"/>
      <c r="C534" s="25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>
      <c r="A535" s="25"/>
      <c r="B535" s="25"/>
      <c r="C535" s="25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>
      <c r="A536" s="25"/>
      <c r="B536" s="25"/>
      <c r="C536" s="25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>
      <c r="A537" s="25"/>
      <c r="B537" s="25"/>
      <c r="C537" s="25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>
      <c r="A538" s="25"/>
      <c r="B538" s="25"/>
      <c r="C538" s="25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>
      <c r="A539" s="25"/>
      <c r="B539" s="25"/>
      <c r="C539" s="25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>
      <c r="A540" s="25"/>
      <c r="B540" s="25"/>
      <c r="C540" s="25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>
      <c r="A541" s="25"/>
      <c r="B541" s="25"/>
      <c r="C541" s="25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>
      <c r="A542" s="25"/>
      <c r="B542" s="25"/>
      <c r="C542" s="25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>
      <c r="A543" s="25"/>
      <c r="B543" s="25"/>
      <c r="C543" s="25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>
      <c r="A544" s="25"/>
      <c r="B544" s="25"/>
      <c r="C544" s="25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>
      <c r="A545" s="25"/>
      <c r="B545" s="25"/>
      <c r="C545" s="25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>
      <c r="A546" s="25"/>
      <c r="B546" s="25"/>
      <c r="C546" s="25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>
      <c r="A547" s="25"/>
      <c r="B547" s="25"/>
      <c r="C547" s="25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>
      <c r="A548" s="25"/>
      <c r="B548" s="25"/>
      <c r="C548" s="25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>
      <c r="A549" s="25"/>
      <c r="B549" s="25"/>
      <c r="C549" s="25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>
      <c r="A550" s="25"/>
      <c r="B550" s="25"/>
      <c r="C550" s="25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>
      <c r="A551" s="25"/>
      <c r="B551" s="25"/>
      <c r="C551" s="25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>
      <c r="A552" s="25"/>
      <c r="B552" s="25"/>
      <c r="C552" s="25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>
      <c r="A553" s="25"/>
      <c r="B553" s="25"/>
      <c r="C553" s="25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>
      <c r="A554" s="25"/>
      <c r="B554" s="25"/>
      <c r="C554" s="25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</row>
    <row r="555">
      <c r="A555" s="25"/>
      <c r="B555" s="25"/>
      <c r="C555" s="25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>
      <c r="A556" s="25"/>
      <c r="B556" s="25"/>
      <c r="C556" s="25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</row>
    <row r="557">
      <c r="A557" s="25"/>
      <c r="B557" s="25"/>
      <c r="C557" s="25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</row>
    <row r="558">
      <c r="A558" s="25"/>
      <c r="B558" s="25"/>
      <c r="C558" s="25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>
      <c r="A559" s="25"/>
      <c r="B559" s="25"/>
      <c r="C559" s="25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</row>
    <row r="560">
      <c r="A560" s="25"/>
      <c r="B560" s="25"/>
      <c r="C560" s="25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>
      <c r="A561" s="25"/>
      <c r="B561" s="25"/>
      <c r="C561" s="25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>
      <c r="A562" s="25"/>
      <c r="B562" s="25"/>
      <c r="C562" s="25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>
      <c r="A563" s="25"/>
      <c r="B563" s="25"/>
      <c r="C563" s="25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>
      <c r="A564" s="25"/>
      <c r="B564" s="25"/>
      <c r="C564" s="25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>
      <c r="A565" s="25"/>
      <c r="B565" s="25"/>
      <c r="C565" s="25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>
      <c r="A566" s="25"/>
      <c r="B566" s="25"/>
      <c r="C566" s="25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>
      <c r="A567" s="25"/>
      <c r="B567" s="25"/>
      <c r="C567" s="25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>
      <c r="A568" s="25"/>
      <c r="B568" s="25"/>
      <c r="C568" s="25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>
      <c r="A569" s="25"/>
      <c r="B569" s="25"/>
      <c r="C569" s="25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>
      <c r="A570" s="25"/>
      <c r="B570" s="25"/>
      <c r="C570" s="25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>
      <c r="A571" s="25"/>
      <c r="B571" s="25"/>
      <c r="C571" s="25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>
      <c r="A572" s="25"/>
      <c r="B572" s="25"/>
      <c r="C572" s="25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>
      <c r="A573" s="25"/>
      <c r="B573" s="25"/>
      <c r="C573" s="25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>
      <c r="A574" s="25"/>
      <c r="B574" s="25"/>
      <c r="C574" s="25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>
      <c r="A575" s="25"/>
      <c r="B575" s="25"/>
      <c r="C575" s="25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>
      <c r="A576" s="25"/>
      <c r="B576" s="25"/>
      <c r="C576" s="25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>
      <c r="A577" s="25"/>
      <c r="B577" s="25"/>
      <c r="C577" s="25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>
      <c r="A578" s="25"/>
      <c r="B578" s="25"/>
      <c r="C578" s="25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>
      <c r="A579" s="25"/>
      <c r="B579" s="25"/>
      <c r="C579" s="25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>
      <c r="A580" s="25"/>
      <c r="B580" s="25"/>
      <c r="C580" s="25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>
      <c r="A581" s="25"/>
      <c r="B581" s="25"/>
      <c r="C581" s="25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>
      <c r="A582" s="25"/>
      <c r="B582" s="25"/>
      <c r="C582" s="25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>
      <c r="A583" s="25"/>
      <c r="B583" s="25"/>
      <c r="C583" s="25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>
      <c r="A584" s="25"/>
      <c r="B584" s="25"/>
      <c r="C584" s="25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>
      <c r="A585" s="25"/>
      <c r="B585" s="25"/>
      <c r="C585" s="25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>
      <c r="A586" s="25"/>
      <c r="B586" s="25"/>
      <c r="C586" s="25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>
      <c r="A587" s="25"/>
      <c r="B587" s="25"/>
      <c r="C587" s="25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>
      <c r="A588" s="25"/>
      <c r="B588" s="25"/>
      <c r="C588" s="25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>
      <c r="A589" s="25"/>
      <c r="B589" s="25"/>
      <c r="C589" s="25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>
      <c r="A590" s="25"/>
      <c r="B590" s="25"/>
      <c r="C590" s="25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>
      <c r="A591" s="25"/>
      <c r="B591" s="25"/>
      <c r="C591" s="25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>
      <c r="A592" s="25"/>
      <c r="B592" s="25"/>
      <c r="C592" s="25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>
      <c r="A593" s="25"/>
      <c r="B593" s="25"/>
      <c r="C593" s="25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>
      <c r="A594" s="25"/>
      <c r="B594" s="25"/>
      <c r="C594" s="25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>
      <c r="A595" s="25"/>
      <c r="B595" s="25"/>
      <c r="C595" s="25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>
      <c r="A596" s="25"/>
      <c r="B596" s="25"/>
      <c r="C596" s="25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>
      <c r="A597" s="25"/>
      <c r="B597" s="25"/>
      <c r="C597" s="25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</row>
    <row r="598">
      <c r="A598" s="25"/>
      <c r="B598" s="25"/>
      <c r="C598" s="25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>
      <c r="A599" s="25"/>
      <c r="B599" s="25"/>
      <c r="C599" s="25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>
      <c r="A600" s="25"/>
      <c r="B600" s="25"/>
      <c r="C600" s="25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</row>
    <row r="601">
      <c r="A601" s="25"/>
      <c r="B601" s="25"/>
      <c r="C601" s="25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>
      <c r="A602" s="25"/>
      <c r="B602" s="25"/>
      <c r="C602" s="25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>
      <c r="A603" s="25"/>
      <c r="B603" s="25"/>
      <c r="C603" s="25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>
      <c r="A604" s="25"/>
      <c r="B604" s="25"/>
      <c r="C604" s="25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>
      <c r="A605" s="25"/>
      <c r="B605" s="25"/>
      <c r="C605" s="25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>
      <c r="A606" s="25"/>
      <c r="B606" s="25"/>
      <c r="C606" s="25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>
      <c r="A607" s="25"/>
      <c r="B607" s="25"/>
      <c r="C607" s="25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>
      <c r="A608" s="25"/>
      <c r="B608" s="25"/>
      <c r="C608" s="25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>
      <c r="A609" s="25"/>
      <c r="B609" s="25"/>
      <c r="C609" s="25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>
      <c r="A610" s="25"/>
      <c r="B610" s="25"/>
      <c r="C610" s="25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>
      <c r="A611" s="25"/>
      <c r="B611" s="25"/>
      <c r="C611" s="25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>
      <c r="A612" s="25"/>
      <c r="B612" s="25"/>
      <c r="C612" s="25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>
      <c r="A613" s="25"/>
      <c r="B613" s="25"/>
      <c r="C613" s="25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>
      <c r="A614" s="25"/>
      <c r="B614" s="25"/>
      <c r="C614" s="25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>
      <c r="A615" s="25"/>
      <c r="B615" s="25"/>
      <c r="C615" s="25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>
      <c r="A616" s="25"/>
      <c r="B616" s="25"/>
      <c r="C616" s="25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>
      <c r="A617" s="25"/>
      <c r="B617" s="25"/>
      <c r="C617" s="25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>
      <c r="A618" s="25"/>
      <c r="B618" s="25"/>
      <c r="C618" s="25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>
      <c r="A619" s="25"/>
      <c r="B619" s="25"/>
      <c r="C619" s="25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>
      <c r="A620" s="25"/>
      <c r="B620" s="25"/>
      <c r="C620" s="25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>
      <c r="A621" s="25"/>
      <c r="B621" s="25"/>
      <c r="C621" s="25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>
      <c r="A622" s="25"/>
      <c r="B622" s="25"/>
      <c r="C622" s="25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>
      <c r="A623" s="25"/>
      <c r="B623" s="25"/>
      <c r="C623" s="25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>
      <c r="A624" s="25"/>
      <c r="B624" s="25"/>
      <c r="C624" s="25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>
      <c r="A625" s="25"/>
      <c r="B625" s="25"/>
      <c r="C625" s="25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>
      <c r="A626" s="25"/>
      <c r="B626" s="25"/>
      <c r="C626" s="25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>
      <c r="A627" s="25"/>
      <c r="B627" s="25"/>
      <c r="C627" s="25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>
      <c r="A628" s="25"/>
      <c r="B628" s="25"/>
      <c r="C628" s="25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>
      <c r="A629" s="25"/>
      <c r="B629" s="25"/>
      <c r="C629" s="25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>
      <c r="A630" s="25"/>
      <c r="B630" s="25"/>
      <c r="C630" s="25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>
      <c r="A631" s="25"/>
      <c r="B631" s="25"/>
      <c r="C631" s="25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>
      <c r="A632" s="25"/>
      <c r="B632" s="25"/>
      <c r="C632" s="25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>
      <c r="A633" s="25"/>
      <c r="B633" s="25"/>
      <c r="C633" s="25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>
      <c r="A634" s="25"/>
      <c r="B634" s="25"/>
      <c r="C634" s="25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>
      <c r="A635" s="25"/>
      <c r="B635" s="25"/>
      <c r="C635" s="25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>
      <c r="A636" s="25"/>
      <c r="B636" s="25"/>
      <c r="C636" s="25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>
      <c r="A637" s="25"/>
      <c r="B637" s="25"/>
      <c r="C637" s="25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>
      <c r="A638" s="25"/>
      <c r="B638" s="25"/>
      <c r="C638" s="25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>
      <c r="A639" s="25"/>
      <c r="B639" s="25"/>
      <c r="C639" s="25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>
      <c r="A640" s="25"/>
      <c r="B640" s="25"/>
      <c r="C640" s="25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</row>
    <row r="641">
      <c r="A641" s="25"/>
      <c r="B641" s="25"/>
      <c r="C641" s="25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>
      <c r="A642" s="25"/>
      <c r="B642" s="25"/>
      <c r="C642" s="25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>
      <c r="A643" s="25"/>
      <c r="B643" s="25"/>
      <c r="C643" s="25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>
      <c r="A644" s="25"/>
      <c r="B644" s="25"/>
      <c r="C644" s="25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</row>
    <row r="645">
      <c r="A645" s="25"/>
      <c r="B645" s="25"/>
      <c r="C645" s="25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</row>
    <row r="646">
      <c r="A646" s="25"/>
      <c r="B646" s="25"/>
      <c r="C646" s="25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>
      <c r="A647" s="25"/>
      <c r="B647" s="25"/>
      <c r="C647" s="25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>
      <c r="A648" s="25"/>
      <c r="B648" s="25"/>
      <c r="C648" s="25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>
      <c r="A649" s="25"/>
      <c r="B649" s="25"/>
      <c r="C649" s="25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>
      <c r="A650" s="25"/>
      <c r="B650" s="25"/>
      <c r="C650" s="25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>
      <c r="A651" s="25"/>
      <c r="B651" s="25"/>
      <c r="C651" s="25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>
      <c r="A652" s="25"/>
      <c r="B652" s="25"/>
      <c r="C652" s="25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>
      <c r="A653" s="25"/>
      <c r="B653" s="25"/>
      <c r="C653" s="25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>
      <c r="A654" s="25"/>
      <c r="B654" s="25"/>
      <c r="C654" s="25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>
      <c r="A655" s="25"/>
      <c r="B655" s="25"/>
      <c r="C655" s="25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>
      <c r="A656" s="25"/>
      <c r="B656" s="25"/>
      <c r="C656" s="25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>
      <c r="A657" s="25"/>
      <c r="B657" s="25"/>
      <c r="C657" s="25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>
      <c r="A658" s="25"/>
      <c r="B658" s="25"/>
      <c r="C658" s="25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>
      <c r="A659" s="25"/>
      <c r="B659" s="25"/>
      <c r="C659" s="25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>
      <c r="A660" s="25"/>
      <c r="B660" s="25"/>
      <c r="C660" s="25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>
      <c r="A661" s="25"/>
      <c r="B661" s="25"/>
      <c r="C661" s="25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>
      <c r="A662" s="25"/>
      <c r="B662" s="25"/>
      <c r="C662" s="25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>
      <c r="A663" s="25"/>
      <c r="B663" s="25"/>
      <c r="C663" s="25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>
      <c r="A664" s="25"/>
      <c r="B664" s="25"/>
      <c r="C664" s="25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>
      <c r="A665" s="25"/>
      <c r="B665" s="25"/>
      <c r="C665" s="25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>
      <c r="A666" s="25"/>
      <c r="B666" s="25"/>
      <c r="C666" s="25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>
      <c r="A667" s="25"/>
      <c r="B667" s="25"/>
      <c r="C667" s="25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>
      <c r="A668" s="25"/>
      <c r="B668" s="25"/>
      <c r="C668" s="25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>
      <c r="A669" s="25"/>
      <c r="B669" s="25"/>
      <c r="C669" s="25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>
      <c r="A670" s="25"/>
      <c r="B670" s="25"/>
      <c r="C670" s="25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>
      <c r="A671" s="25"/>
      <c r="B671" s="25"/>
      <c r="C671" s="25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>
      <c r="A672" s="25"/>
      <c r="B672" s="25"/>
      <c r="C672" s="25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>
      <c r="A673" s="25"/>
      <c r="B673" s="25"/>
      <c r="C673" s="25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>
      <c r="A674" s="25"/>
      <c r="B674" s="25"/>
      <c r="C674" s="25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>
      <c r="A675" s="25"/>
      <c r="B675" s="25"/>
      <c r="C675" s="25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>
      <c r="A676" s="25"/>
      <c r="B676" s="25"/>
      <c r="C676" s="25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>
      <c r="A677" s="25"/>
      <c r="B677" s="25"/>
      <c r="C677" s="25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>
      <c r="A678" s="25"/>
      <c r="B678" s="25"/>
      <c r="C678" s="25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>
      <c r="A679" s="25"/>
      <c r="B679" s="25"/>
      <c r="C679" s="25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>
      <c r="A680" s="25"/>
      <c r="B680" s="25"/>
      <c r="C680" s="25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</row>
    <row r="681">
      <c r="A681" s="25"/>
      <c r="B681" s="25"/>
      <c r="C681" s="25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</row>
    <row r="682">
      <c r="A682" s="25"/>
      <c r="B682" s="25"/>
      <c r="C682" s="25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>
      <c r="A683" s="25"/>
      <c r="B683" s="25"/>
      <c r="C683" s="25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>
      <c r="A684" s="25"/>
      <c r="B684" s="25"/>
      <c r="C684" s="25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>
      <c r="A685" s="25"/>
      <c r="B685" s="25"/>
      <c r="C685" s="25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</row>
    <row r="686">
      <c r="A686" s="25"/>
      <c r="B686" s="25"/>
      <c r="C686" s="25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>
      <c r="A687" s="25"/>
      <c r="B687" s="25"/>
      <c r="C687" s="25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>
      <c r="A688" s="25"/>
      <c r="B688" s="25"/>
      <c r="C688" s="25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>
      <c r="A689" s="25"/>
      <c r="B689" s="25"/>
      <c r="C689" s="25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>
      <c r="A690" s="25"/>
      <c r="B690" s="25"/>
      <c r="C690" s="25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>
      <c r="A691" s="25"/>
      <c r="B691" s="25"/>
      <c r="C691" s="25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>
      <c r="A692" s="25"/>
      <c r="B692" s="25"/>
      <c r="C692" s="25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>
      <c r="A693" s="25"/>
      <c r="B693" s="25"/>
      <c r="C693" s="25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>
      <c r="A694" s="25"/>
      <c r="B694" s="25"/>
      <c r="C694" s="25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>
      <c r="A695" s="25"/>
      <c r="B695" s="25"/>
      <c r="C695" s="25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>
      <c r="A696" s="25"/>
      <c r="B696" s="25"/>
      <c r="C696" s="25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>
      <c r="A697" s="25"/>
      <c r="B697" s="25"/>
      <c r="C697" s="25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>
      <c r="A698" s="25"/>
      <c r="B698" s="25"/>
      <c r="C698" s="25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>
      <c r="A699" s="25"/>
      <c r="B699" s="25"/>
      <c r="C699" s="25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>
      <c r="A700" s="25"/>
      <c r="B700" s="25"/>
      <c r="C700" s="25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>
      <c r="A701" s="25"/>
      <c r="B701" s="25"/>
      <c r="C701" s="25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>
      <c r="A702" s="25"/>
      <c r="B702" s="25"/>
      <c r="C702" s="25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>
      <c r="A703" s="25"/>
      <c r="B703" s="25"/>
      <c r="C703" s="25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>
      <c r="A704" s="25"/>
      <c r="B704" s="25"/>
      <c r="C704" s="25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>
      <c r="A705" s="25"/>
      <c r="B705" s="25"/>
      <c r="C705" s="25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>
      <c r="A706" s="25"/>
      <c r="B706" s="25"/>
      <c r="C706" s="25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>
      <c r="A707" s="25"/>
      <c r="B707" s="25"/>
      <c r="C707" s="25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>
      <c r="A708" s="25"/>
      <c r="B708" s="25"/>
      <c r="C708" s="25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>
      <c r="A709" s="25"/>
      <c r="B709" s="25"/>
      <c r="C709" s="25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>
      <c r="A710" s="25"/>
      <c r="B710" s="25"/>
      <c r="C710" s="25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>
      <c r="A711" s="25"/>
      <c r="B711" s="25"/>
      <c r="C711" s="25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>
      <c r="A712" s="25"/>
      <c r="B712" s="25"/>
      <c r="C712" s="25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>
      <c r="A713" s="25"/>
      <c r="B713" s="25"/>
      <c r="C713" s="25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>
      <c r="A714" s="25"/>
      <c r="B714" s="25"/>
      <c r="C714" s="25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>
      <c r="A715" s="25"/>
      <c r="B715" s="25"/>
      <c r="C715" s="25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>
      <c r="A716" s="25"/>
      <c r="B716" s="25"/>
      <c r="C716" s="25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>
      <c r="A717" s="25"/>
      <c r="B717" s="25"/>
      <c r="C717" s="25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>
      <c r="A718" s="25"/>
      <c r="B718" s="25"/>
      <c r="C718" s="25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</row>
    <row r="719">
      <c r="A719" s="25"/>
      <c r="B719" s="25"/>
      <c r="C719" s="25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</row>
    <row r="720">
      <c r="A720" s="25"/>
      <c r="B720" s="25"/>
      <c r="C720" s="25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>
      <c r="A721" s="25"/>
      <c r="B721" s="25"/>
      <c r="C721" s="25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>
      <c r="A722" s="25"/>
      <c r="B722" s="25"/>
      <c r="C722" s="25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>
      <c r="A723" s="25"/>
      <c r="B723" s="25"/>
      <c r="C723" s="25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>
      <c r="A724" s="25"/>
      <c r="B724" s="25"/>
      <c r="C724" s="25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>
      <c r="A725" s="25"/>
      <c r="B725" s="25"/>
      <c r="C725" s="25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>
      <c r="A726" s="25"/>
      <c r="B726" s="25"/>
      <c r="C726" s="25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>
      <c r="A727" s="25"/>
      <c r="B727" s="25"/>
      <c r="C727" s="25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>
      <c r="A728" s="25"/>
      <c r="B728" s="25"/>
      <c r="C728" s="25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>
      <c r="A729" s="25"/>
      <c r="B729" s="25"/>
      <c r="C729" s="25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>
      <c r="A730" s="25"/>
      <c r="B730" s="25"/>
      <c r="C730" s="25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>
      <c r="A731" s="25"/>
      <c r="B731" s="25"/>
      <c r="C731" s="25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</row>
    <row r="732">
      <c r="A732" s="25"/>
      <c r="B732" s="25"/>
      <c r="C732" s="25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>
      <c r="A733" s="25"/>
      <c r="B733" s="25"/>
      <c r="C733" s="25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>
      <c r="A734" s="25"/>
      <c r="B734" s="25"/>
      <c r="C734" s="25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>
      <c r="A735" s="25"/>
      <c r="B735" s="25"/>
      <c r="C735" s="25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>
      <c r="A736" s="25"/>
      <c r="B736" s="25"/>
      <c r="C736" s="25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>
      <c r="A737" s="25"/>
      <c r="B737" s="25"/>
      <c r="C737" s="25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>
      <c r="A738" s="25"/>
      <c r="B738" s="25"/>
      <c r="C738" s="25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>
      <c r="A739" s="25"/>
      <c r="B739" s="25"/>
      <c r="C739" s="25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>
      <c r="A740" s="25"/>
      <c r="B740" s="25"/>
      <c r="C740" s="25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</row>
    <row r="741">
      <c r="A741" s="25"/>
      <c r="B741" s="25"/>
      <c r="C741" s="25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>
      <c r="A742" s="25"/>
      <c r="B742" s="25"/>
      <c r="C742" s="25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>
      <c r="A743" s="25"/>
      <c r="B743" s="25"/>
      <c r="C743" s="25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>
      <c r="A744" s="25"/>
      <c r="B744" s="25"/>
      <c r="C744" s="25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>
      <c r="A745" s="25"/>
      <c r="B745" s="25"/>
      <c r="C745" s="25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>
      <c r="A746" s="25"/>
      <c r="B746" s="25"/>
      <c r="C746" s="25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</row>
    <row r="747">
      <c r="A747" s="25"/>
      <c r="B747" s="25"/>
      <c r="C747" s="25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>
      <c r="A748" s="25"/>
      <c r="B748" s="25"/>
      <c r="C748" s="25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>
      <c r="A749" s="25"/>
      <c r="B749" s="25"/>
      <c r="C749" s="25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>
      <c r="A750" s="25"/>
      <c r="B750" s="25"/>
      <c r="C750" s="25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>
      <c r="A751" s="25"/>
      <c r="B751" s="25"/>
      <c r="C751" s="25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>
      <c r="A752" s="25"/>
      <c r="B752" s="25"/>
      <c r="C752" s="25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>
      <c r="A753" s="25"/>
      <c r="B753" s="25"/>
      <c r="C753" s="25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>
      <c r="A754" s="25"/>
      <c r="B754" s="25"/>
      <c r="C754" s="25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>
      <c r="A755" s="25"/>
      <c r="B755" s="25"/>
      <c r="C755" s="25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>
      <c r="A756" s="25"/>
      <c r="B756" s="25"/>
      <c r="C756" s="25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>
      <c r="A757" s="25"/>
      <c r="B757" s="25"/>
      <c r="C757" s="25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>
      <c r="A758" s="25"/>
      <c r="B758" s="25"/>
      <c r="C758" s="25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>
      <c r="A759" s="25"/>
      <c r="B759" s="25"/>
      <c r="C759" s="25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>
      <c r="A760" s="25"/>
      <c r="B760" s="25"/>
      <c r="C760" s="25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>
      <c r="A761" s="25"/>
      <c r="B761" s="25"/>
      <c r="C761" s="25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>
      <c r="A762" s="25"/>
      <c r="B762" s="25"/>
      <c r="C762" s="25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>
      <c r="A763" s="25"/>
      <c r="B763" s="25"/>
      <c r="C763" s="25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>
      <c r="A764" s="25"/>
      <c r="B764" s="25"/>
      <c r="C764" s="25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>
      <c r="A765" s="25"/>
      <c r="B765" s="25"/>
      <c r="C765" s="25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>
      <c r="A766" s="25"/>
      <c r="B766" s="25"/>
      <c r="C766" s="25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>
      <c r="A767" s="25"/>
      <c r="B767" s="25"/>
      <c r="C767" s="25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>
      <c r="A768" s="25"/>
      <c r="B768" s="25"/>
      <c r="C768" s="25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>
      <c r="A769" s="25"/>
      <c r="B769" s="25"/>
      <c r="C769" s="25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>
      <c r="A770" s="25"/>
      <c r="B770" s="25"/>
      <c r="C770" s="25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>
      <c r="A771" s="25"/>
      <c r="B771" s="25"/>
      <c r="C771" s="25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>
      <c r="A772" s="25"/>
      <c r="B772" s="25"/>
      <c r="C772" s="25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>
      <c r="A773" s="25"/>
      <c r="B773" s="25"/>
      <c r="C773" s="25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>
      <c r="A774" s="25"/>
      <c r="B774" s="25"/>
      <c r="C774" s="25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>
      <c r="A775" s="25"/>
      <c r="B775" s="25"/>
      <c r="C775" s="25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>
      <c r="A776" s="25"/>
      <c r="B776" s="25"/>
      <c r="C776" s="25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>
      <c r="A777" s="25"/>
      <c r="B777" s="25"/>
      <c r="C777" s="25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>
      <c r="A778" s="25"/>
      <c r="B778" s="25"/>
      <c r="C778" s="25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>
      <c r="A779" s="25"/>
      <c r="B779" s="25"/>
      <c r="C779" s="25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>
      <c r="A780" s="25"/>
      <c r="B780" s="25"/>
      <c r="C780" s="25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>
      <c r="A781" s="25"/>
      <c r="B781" s="25"/>
      <c r="C781" s="25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>
      <c r="A782" s="25"/>
      <c r="B782" s="25"/>
      <c r="C782" s="25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>
      <c r="A783" s="25"/>
      <c r="B783" s="25"/>
      <c r="C783" s="25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>
      <c r="A784" s="25"/>
      <c r="B784" s="25"/>
      <c r="C784" s="25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>
      <c r="A785" s="25"/>
      <c r="B785" s="25"/>
      <c r="C785" s="25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>
      <c r="A786" s="25"/>
      <c r="B786" s="25"/>
      <c r="C786" s="25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>
      <c r="A787" s="25"/>
      <c r="B787" s="25"/>
      <c r="C787" s="25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>
      <c r="A788" s="25"/>
      <c r="B788" s="25"/>
      <c r="C788" s="25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>
      <c r="A789" s="25"/>
      <c r="B789" s="25"/>
      <c r="C789" s="25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>
      <c r="A790" s="25"/>
      <c r="B790" s="25"/>
      <c r="C790" s="25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>
      <c r="A791" s="25"/>
      <c r="B791" s="25"/>
      <c r="C791" s="25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>
      <c r="A792" s="25"/>
      <c r="B792" s="25"/>
      <c r="C792" s="25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>
      <c r="A793" s="25"/>
      <c r="B793" s="25"/>
      <c r="C793" s="25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>
      <c r="A794" s="25"/>
      <c r="B794" s="25"/>
      <c r="C794" s="25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>
      <c r="A795" s="25"/>
      <c r="B795" s="25"/>
      <c r="C795" s="25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>
      <c r="A796" s="25"/>
      <c r="B796" s="25"/>
      <c r="C796" s="25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>
      <c r="A797" s="25"/>
      <c r="B797" s="25"/>
      <c r="C797" s="25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>
      <c r="A798" s="25"/>
      <c r="B798" s="25"/>
      <c r="C798" s="25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>
      <c r="A799" s="25"/>
      <c r="B799" s="25"/>
      <c r="C799" s="25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>
      <c r="A800" s="25"/>
      <c r="B800" s="25"/>
      <c r="C800" s="25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>
      <c r="A801" s="25"/>
      <c r="B801" s="25"/>
      <c r="C801" s="25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>
      <c r="A802" s="25"/>
      <c r="B802" s="25"/>
      <c r="C802" s="25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>
      <c r="A803" s="25"/>
      <c r="B803" s="25"/>
      <c r="C803" s="25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>
      <c r="A804" s="25"/>
      <c r="B804" s="25"/>
      <c r="C804" s="25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>
      <c r="A805" s="25"/>
      <c r="B805" s="25"/>
      <c r="C805" s="25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>
      <c r="A806" s="25"/>
      <c r="B806" s="25"/>
      <c r="C806" s="25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>
      <c r="A807" s="25"/>
      <c r="B807" s="25"/>
      <c r="C807" s="25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>
      <c r="A808" s="25"/>
      <c r="B808" s="25"/>
      <c r="C808" s="25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>
      <c r="A809" s="25"/>
      <c r="B809" s="25"/>
      <c r="C809" s="25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>
      <c r="A810" s="25"/>
      <c r="B810" s="25"/>
      <c r="C810" s="25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>
      <c r="A811" s="25"/>
      <c r="B811" s="25"/>
      <c r="C811" s="25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>
      <c r="A812" s="25"/>
      <c r="B812" s="25"/>
      <c r="C812" s="25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>
      <c r="A813" s="25"/>
      <c r="B813" s="25"/>
      <c r="C813" s="25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>
      <c r="A814" s="25"/>
      <c r="B814" s="25"/>
      <c r="C814" s="25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>
      <c r="A815" s="25"/>
      <c r="B815" s="25"/>
      <c r="C815" s="25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>
      <c r="A816" s="25"/>
      <c r="B816" s="25"/>
      <c r="C816" s="25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>
      <c r="A817" s="25"/>
      <c r="B817" s="25"/>
      <c r="C817" s="25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>
      <c r="A818" s="25"/>
      <c r="B818" s="25"/>
      <c r="C818" s="25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>
      <c r="A819" s="25"/>
      <c r="B819" s="25"/>
      <c r="C819" s="25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>
      <c r="A820" s="25"/>
      <c r="B820" s="25"/>
      <c r="C820" s="25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>
      <c r="A821" s="25"/>
      <c r="B821" s="25"/>
      <c r="C821" s="25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>
      <c r="A822" s="25"/>
      <c r="B822" s="25"/>
      <c r="C822" s="25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>
      <c r="A823" s="25"/>
      <c r="B823" s="25"/>
      <c r="C823" s="25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>
      <c r="A824" s="25"/>
      <c r="B824" s="25"/>
      <c r="C824" s="25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>
      <c r="A825" s="25"/>
      <c r="B825" s="25"/>
      <c r="C825" s="25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>
      <c r="A826" s="25"/>
      <c r="B826" s="25"/>
      <c r="C826" s="25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>
      <c r="A827" s="25"/>
      <c r="B827" s="25"/>
      <c r="C827" s="25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>
      <c r="A828" s="25"/>
      <c r="B828" s="25"/>
      <c r="C828" s="25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>
      <c r="A829" s="25"/>
      <c r="B829" s="25"/>
      <c r="C829" s="25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>
      <c r="A830" s="25"/>
      <c r="B830" s="25"/>
      <c r="C830" s="25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>
      <c r="A831" s="25"/>
      <c r="B831" s="25"/>
      <c r="C831" s="25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>
      <c r="A832" s="25"/>
      <c r="B832" s="25"/>
      <c r="C832" s="25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>
      <c r="A833" s="25"/>
      <c r="B833" s="25"/>
      <c r="C833" s="25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>
      <c r="A834" s="25"/>
      <c r="B834" s="25"/>
      <c r="C834" s="25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>
      <c r="A835" s="25"/>
      <c r="B835" s="25"/>
      <c r="C835" s="25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>
      <c r="A836" s="25"/>
      <c r="B836" s="25"/>
      <c r="C836" s="25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>
      <c r="A837" s="25"/>
      <c r="B837" s="25"/>
      <c r="C837" s="25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>
      <c r="A838" s="25"/>
      <c r="B838" s="25"/>
      <c r="C838" s="25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>
      <c r="A839" s="25"/>
      <c r="B839" s="25"/>
      <c r="C839" s="25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>
      <c r="A840" s="25"/>
      <c r="B840" s="25"/>
      <c r="C840" s="25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>
      <c r="A841" s="25"/>
      <c r="B841" s="25"/>
      <c r="C841" s="25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>
      <c r="A842" s="25"/>
      <c r="B842" s="25"/>
      <c r="C842" s="25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>
      <c r="A843" s="25"/>
      <c r="B843" s="25"/>
      <c r="C843" s="25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>
      <c r="A844" s="25"/>
      <c r="B844" s="25"/>
      <c r="C844" s="25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>
      <c r="A845" s="25"/>
      <c r="B845" s="25"/>
      <c r="C845" s="25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>
      <c r="A846" s="25"/>
      <c r="B846" s="25"/>
      <c r="C846" s="25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>
      <c r="A847" s="25"/>
      <c r="B847" s="25"/>
      <c r="C847" s="25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>
      <c r="A848" s="25"/>
      <c r="B848" s="25"/>
      <c r="C848" s="25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>
      <c r="A849" s="25"/>
      <c r="B849" s="25"/>
      <c r="C849" s="25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>
      <c r="A850" s="25"/>
      <c r="B850" s="25"/>
      <c r="C850" s="25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>
      <c r="A851" s="25"/>
      <c r="B851" s="25"/>
      <c r="C851" s="25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>
      <c r="A852" s="25"/>
      <c r="B852" s="25"/>
      <c r="C852" s="25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>
      <c r="A853" s="25"/>
      <c r="B853" s="25"/>
      <c r="C853" s="25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>
      <c r="A854" s="25"/>
      <c r="B854" s="25"/>
      <c r="C854" s="25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>
      <c r="A855" s="25"/>
      <c r="B855" s="25"/>
      <c r="C855" s="25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>
      <c r="A856" s="25"/>
      <c r="B856" s="25"/>
      <c r="C856" s="25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>
      <c r="A857" s="25"/>
      <c r="B857" s="25"/>
      <c r="C857" s="25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>
      <c r="A858" s="25"/>
      <c r="B858" s="25"/>
      <c r="C858" s="25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>
      <c r="A859" s="25"/>
      <c r="B859" s="25"/>
      <c r="C859" s="25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>
      <c r="A860" s="25"/>
      <c r="B860" s="25"/>
      <c r="C860" s="25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>
      <c r="A861" s="25"/>
      <c r="B861" s="25"/>
      <c r="C861" s="25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>
      <c r="A862" s="25"/>
      <c r="B862" s="25"/>
      <c r="C862" s="25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>
      <c r="A863" s="25"/>
      <c r="B863" s="25"/>
      <c r="C863" s="25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>
      <c r="A864" s="25"/>
      <c r="B864" s="25"/>
      <c r="C864" s="25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>
      <c r="A865" s="25"/>
      <c r="B865" s="25"/>
      <c r="C865" s="25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>
      <c r="A866" s="25"/>
      <c r="B866" s="25"/>
      <c r="C866" s="25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>
      <c r="A867" s="25"/>
      <c r="B867" s="25"/>
      <c r="C867" s="25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>
      <c r="A868" s="25"/>
      <c r="B868" s="25"/>
      <c r="C868" s="25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>
      <c r="A869" s="25"/>
      <c r="B869" s="25"/>
      <c r="C869" s="25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>
      <c r="A870" s="25"/>
      <c r="B870" s="25"/>
      <c r="C870" s="25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>
      <c r="A871" s="25"/>
      <c r="B871" s="25"/>
      <c r="C871" s="25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>
      <c r="A872" s="25"/>
      <c r="B872" s="25"/>
      <c r="C872" s="25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>
      <c r="A873" s="25"/>
      <c r="B873" s="25"/>
      <c r="C873" s="25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>
      <c r="A874" s="25"/>
      <c r="B874" s="25"/>
      <c r="C874" s="25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>
      <c r="A875" s="25"/>
      <c r="B875" s="25"/>
      <c r="C875" s="25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>
      <c r="A876" s="25"/>
      <c r="B876" s="25"/>
      <c r="C876" s="25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>
      <c r="A877" s="25"/>
      <c r="B877" s="25"/>
      <c r="C877" s="25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>
      <c r="A878" s="25"/>
      <c r="B878" s="25"/>
      <c r="C878" s="25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>
      <c r="A879" s="25"/>
      <c r="B879" s="25"/>
      <c r="C879" s="25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>
      <c r="A880" s="25"/>
      <c r="B880" s="25"/>
      <c r="C880" s="25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>
      <c r="A881" s="25"/>
      <c r="B881" s="25"/>
      <c r="C881" s="25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>
      <c r="A882" s="25"/>
      <c r="B882" s="25"/>
      <c r="C882" s="25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>
      <c r="A883" s="25"/>
      <c r="B883" s="25"/>
      <c r="C883" s="25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>
      <c r="A884" s="25"/>
      <c r="B884" s="25"/>
      <c r="C884" s="25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>
      <c r="A885" s="25"/>
      <c r="B885" s="25"/>
      <c r="C885" s="25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>
      <c r="A886" s="25"/>
      <c r="B886" s="25"/>
      <c r="C886" s="25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>
      <c r="A887" s="25"/>
      <c r="B887" s="25"/>
      <c r="C887" s="25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>
      <c r="A888" s="25"/>
      <c r="B888" s="25"/>
      <c r="C888" s="25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>
      <c r="A889" s="25"/>
      <c r="B889" s="25"/>
      <c r="C889" s="25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>
      <c r="A890" s="25"/>
      <c r="B890" s="25"/>
      <c r="C890" s="25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>
      <c r="A891" s="25"/>
      <c r="B891" s="25"/>
      <c r="C891" s="25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>
      <c r="A892" s="25"/>
      <c r="B892" s="25"/>
      <c r="C892" s="25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>
      <c r="A893" s="25"/>
      <c r="B893" s="25"/>
      <c r="C893" s="25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>
      <c r="A894" s="25"/>
      <c r="B894" s="25"/>
      <c r="C894" s="25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>
      <c r="A895" s="25"/>
      <c r="B895" s="25"/>
      <c r="C895" s="25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>
      <c r="A896" s="25"/>
      <c r="B896" s="25"/>
      <c r="C896" s="25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>
      <c r="A897" s="25"/>
      <c r="B897" s="25"/>
      <c r="C897" s="25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>
      <c r="A898" s="25"/>
      <c r="B898" s="25"/>
      <c r="C898" s="25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>
      <c r="A899" s="25"/>
      <c r="B899" s="25"/>
      <c r="C899" s="25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>
      <c r="A900" s="25"/>
      <c r="B900" s="25"/>
      <c r="C900" s="25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>
      <c r="A901" s="25"/>
      <c r="B901" s="25"/>
      <c r="C901" s="25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>
      <c r="A902" s="25"/>
      <c r="B902" s="25"/>
      <c r="C902" s="25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>
      <c r="A903" s="25"/>
      <c r="B903" s="25"/>
      <c r="C903" s="25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>
      <c r="A904" s="25"/>
      <c r="B904" s="25"/>
      <c r="C904" s="25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>
      <c r="A905" s="25"/>
      <c r="B905" s="25"/>
      <c r="C905" s="25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>
      <c r="A906" s="25"/>
      <c r="B906" s="25"/>
      <c r="C906" s="25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>
      <c r="A907" s="25"/>
      <c r="B907" s="25"/>
      <c r="C907" s="25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>
      <c r="A908" s="25"/>
      <c r="B908" s="25"/>
      <c r="C908" s="25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>
      <c r="A909" s="25"/>
      <c r="B909" s="25"/>
      <c r="C909" s="25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>
      <c r="A910" s="25"/>
      <c r="B910" s="25"/>
      <c r="C910" s="25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>
      <c r="A911" s="25"/>
      <c r="B911" s="25"/>
      <c r="C911" s="25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>
      <c r="A912" s="25"/>
      <c r="B912" s="25"/>
      <c r="C912" s="25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>
      <c r="A913" s="25"/>
      <c r="B913" s="25"/>
      <c r="C913" s="25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>
      <c r="A914" s="25"/>
      <c r="B914" s="25"/>
      <c r="C914" s="25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>
      <c r="A915" s="25"/>
      <c r="B915" s="25"/>
      <c r="C915" s="25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>
      <c r="A916" s="25"/>
      <c r="B916" s="25"/>
      <c r="C916" s="25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>
      <c r="A917" s="25"/>
      <c r="B917" s="25"/>
      <c r="C917" s="25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>
      <c r="A918" s="25"/>
      <c r="B918" s="25"/>
      <c r="C918" s="25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>
      <c r="A919" s="25"/>
      <c r="B919" s="25"/>
      <c r="C919" s="25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>
      <c r="A920" s="25"/>
      <c r="B920" s="25"/>
      <c r="C920" s="25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>
      <c r="A921" s="25"/>
      <c r="B921" s="25"/>
      <c r="C921" s="25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>
      <c r="A922" s="25"/>
      <c r="B922" s="25"/>
      <c r="C922" s="25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>
      <c r="A923" s="25"/>
      <c r="B923" s="25"/>
      <c r="C923" s="25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>
      <c r="A924" s="25"/>
      <c r="B924" s="25"/>
      <c r="C924" s="25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>
      <c r="A925" s="25"/>
      <c r="B925" s="25"/>
      <c r="C925" s="25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>
      <c r="A926" s="25"/>
      <c r="B926" s="25"/>
      <c r="C926" s="25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>
      <c r="A927" s="25"/>
      <c r="B927" s="25"/>
      <c r="C927" s="25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>
      <c r="A928" s="25"/>
      <c r="B928" s="25"/>
      <c r="C928" s="25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>
      <c r="A929" s="25"/>
      <c r="B929" s="25"/>
      <c r="C929" s="25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>
      <c r="A930" s="25"/>
      <c r="B930" s="25"/>
      <c r="C930" s="25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>
      <c r="A931" s="25"/>
      <c r="B931" s="25"/>
      <c r="C931" s="25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>
      <c r="A932" s="25"/>
      <c r="B932" s="25"/>
      <c r="C932" s="25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>
      <c r="A933" s="25"/>
      <c r="B933" s="25"/>
      <c r="C933" s="25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>
      <c r="A934" s="25"/>
      <c r="B934" s="25"/>
      <c r="C934" s="25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>
      <c r="A935" s="25"/>
      <c r="B935" s="25"/>
      <c r="C935" s="25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>
      <c r="A936" s="25"/>
      <c r="B936" s="25"/>
      <c r="C936" s="25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>
      <c r="A937" s="25"/>
      <c r="B937" s="25"/>
      <c r="C937" s="25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>
      <c r="A938" s="25"/>
      <c r="B938" s="25"/>
      <c r="C938" s="25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>
      <c r="A939" s="25"/>
      <c r="B939" s="25"/>
      <c r="C939" s="25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>
      <c r="A940" s="25"/>
      <c r="B940" s="25"/>
      <c r="C940" s="25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>
      <c r="A941" s="25"/>
      <c r="B941" s="25"/>
      <c r="C941" s="25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>
      <c r="A942" s="25"/>
      <c r="B942" s="25"/>
      <c r="C942" s="25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>
      <c r="A943" s="25"/>
      <c r="B943" s="25"/>
      <c r="C943" s="25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>
      <c r="A944" s="25"/>
      <c r="B944" s="25"/>
      <c r="C944" s="25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>
      <c r="A945" s="25"/>
      <c r="B945" s="25"/>
      <c r="C945" s="25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>
      <c r="A946" s="25"/>
      <c r="B946" s="25"/>
      <c r="C946" s="25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>
      <c r="A947" s="25"/>
      <c r="B947" s="25"/>
      <c r="C947" s="25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>
      <c r="A948" s="25"/>
      <c r="B948" s="25"/>
      <c r="C948" s="25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>
      <c r="A949" s="25"/>
      <c r="B949" s="25"/>
      <c r="C949" s="25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>
      <c r="A950" s="25"/>
      <c r="B950" s="25"/>
      <c r="C950" s="25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>
      <c r="A951" s="25"/>
      <c r="B951" s="25"/>
      <c r="C951" s="25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>
      <c r="A952" s="25"/>
      <c r="B952" s="25"/>
      <c r="C952" s="25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>
      <c r="A953" s="25"/>
      <c r="B953" s="25"/>
      <c r="C953" s="25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>
      <c r="A954" s="25"/>
      <c r="B954" s="25"/>
      <c r="C954" s="25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>
      <c r="A955" s="25"/>
      <c r="B955" s="25"/>
      <c r="C955" s="25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>
      <c r="A956" s="25"/>
      <c r="B956" s="25"/>
      <c r="C956" s="25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>
      <c r="A957" s="25"/>
      <c r="B957" s="25"/>
      <c r="C957" s="25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>
      <c r="A958" s="25"/>
      <c r="B958" s="25"/>
      <c r="C958" s="25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>
      <c r="A959" s="25"/>
      <c r="B959" s="25"/>
      <c r="C959" s="25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>
      <c r="A960" s="25"/>
      <c r="B960" s="25"/>
      <c r="C960" s="25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>
      <c r="A961" s="25"/>
      <c r="B961" s="25"/>
      <c r="C961" s="25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>
      <c r="A962" s="25"/>
      <c r="B962" s="25"/>
      <c r="C962" s="25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>
      <c r="A963" s="25"/>
      <c r="B963" s="25"/>
      <c r="C963" s="25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>
      <c r="A964" s="25"/>
      <c r="B964" s="25"/>
      <c r="C964" s="25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>
      <c r="A965" s="25"/>
      <c r="B965" s="25"/>
      <c r="C965" s="25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>
      <c r="A966" s="25"/>
      <c r="B966" s="25"/>
      <c r="C966" s="25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>
      <c r="A967" s="25"/>
      <c r="B967" s="25"/>
      <c r="C967" s="25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>
      <c r="A968" s="25"/>
      <c r="B968" s="25"/>
      <c r="C968" s="25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>
      <c r="A969" s="25"/>
      <c r="B969" s="25"/>
      <c r="C969" s="25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>
      <c r="A970" s="25"/>
      <c r="B970" s="25"/>
      <c r="C970" s="25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>
      <c r="A971" s="25"/>
      <c r="B971" s="25"/>
      <c r="C971" s="25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>
      <c r="A972" s="25"/>
      <c r="B972" s="25"/>
      <c r="C972" s="25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>
      <c r="A973" s="25"/>
      <c r="B973" s="25"/>
      <c r="C973" s="25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>
      <c r="A974" s="25"/>
      <c r="B974" s="25"/>
      <c r="C974" s="25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>
      <c r="A975" s="25"/>
      <c r="B975" s="25"/>
      <c r="C975" s="25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>
      <c r="A976" s="25"/>
      <c r="B976" s="25"/>
      <c r="C976" s="25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>
      <c r="A977" s="25"/>
      <c r="B977" s="25"/>
      <c r="C977" s="25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>
      <c r="A978" s="25"/>
      <c r="B978" s="25"/>
      <c r="C978" s="25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>
      <c r="A979" s="25"/>
      <c r="B979" s="25"/>
      <c r="C979" s="25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>
      <c r="A980" s="25"/>
      <c r="B980" s="25"/>
      <c r="C980" s="25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>
      <c r="A981" s="25"/>
      <c r="B981" s="25"/>
      <c r="C981" s="25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>
      <c r="A982" s="25"/>
      <c r="B982" s="25"/>
      <c r="C982" s="25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>
      <c r="A983" s="25"/>
      <c r="B983" s="25"/>
      <c r="C983" s="25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  <row r="984">
      <c r="A984" s="25"/>
      <c r="B984" s="25"/>
      <c r="C984" s="25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</row>
    <row r="985">
      <c r="A985" s="25"/>
      <c r="B985" s="25"/>
      <c r="C985" s="25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</row>
    <row r="986">
      <c r="A986" s="25"/>
      <c r="B986" s="25"/>
      <c r="C986" s="25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</row>
    <row r="987">
      <c r="A987" s="25"/>
      <c r="B987" s="25"/>
      <c r="C987" s="25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</row>
    <row r="988">
      <c r="A988" s="25"/>
      <c r="B988" s="25"/>
      <c r="C988" s="25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</row>
    <row r="989">
      <c r="A989" s="25"/>
      <c r="B989" s="25"/>
      <c r="C989" s="25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</row>
    <row r="990">
      <c r="A990" s="25"/>
      <c r="B990" s="25"/>
      <c r="C990" s="25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</row>
    <row r="991">
      <c r="A991" s="25"/>
      <c r="B991" s="25"/>
      <c r="C991" s="25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</row>
    <row r="992">
      <c r="A992" s="25"/>
      <c r="B992" s="25"/>
      <c r="C992" s="25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</row>
    <row r="993">
      <c r="A993" s="25"/>
      <c r="B993" s="25"/>
      <c r="C993" s="25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</row>
    <row r="994">
      <c r="A994" s="25"/>
      <c r="B994" s="25"/>
      <c r="C994" s="25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</row>
    <row r="995">
      <c r="A995" s="25"/>
      <c r="B995" s="25"/>
      <c r="C995" s="25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</row>
    <row r="996">
      <c r="A996" s="25"/>
      <c r="B996" s="25"/>
      <c r="C996" s="25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</row>
    <row r="997">
      <c r="A997" s="25"/>
      <c r="B997" s="25"/>
      <c r="C997" s="25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</row>
    <row r="998">
      <c r="A998" s="25"/>
      <c r="B998" s="25"/>
      <c r="C998" s="25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</row>
    <row r="999">
      <c r="A999" s="25"/>
      <c r="B999" s="25"/>
      <c r="C999" s="25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</row>
    <row r="1000">
      <c r="A1000" s="25"/>
      <c r="B1000" s="25"/>
      <c r="C1000" s="25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</row>
    <row r="1001">
      <c r="A1001" s="25"/>
      <c r="B1001" s="25"/>
      <c r="C1001" s="25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</row>
  </sheetData>
  <mergeCells count="3">
    <mergeCell ref="A1:I1"/>
    <mergeCell ref="A2:E2"/>
    <mergeCell ref="E9:E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6" max="6" width="37.63"/>
  </cols>
  <sheetData>
    <row r="1">
      <c r="A1" s="32" t="s">
        <v>216</v>
      </c>
    </row>
    <row r="2">
      <c r="A2" s="17" t="s">
        <v>217</v>
      </c>
    </row>
    <row r="4">
      <c r="A4" s="33" t="s">
        <v>218</v>
      </c>
      <c r="B4" s="33" t="s">
        <v>218</v>
      </c>
      <c r="C4" s="33" t="s">
        <v>219</v>
      </c>
      <c r="D4" s="33" t="s">
        <v>219</v>
      </c>
      <c r="E4" s="33" t="s">
        <v>219</v>
      </c>
      <c r="F4" s="33" t="s">
        <v>7</v>
      </c>
    </row>
    <row r="5">
      <c r="A5" s="33" t="s">
        <v>220</v>
      </c>
      <c r="B5" s="33" t="s">
        <v>221</v>
      </c>
      <c r="C5" s="33" t="s">
        <v>222</v>
      </c>
      <c r="D5" s="33" t="s">
        <v>223</v>
      </c>
      <c r="E5" s="33" t="s">
        <v>224</v>
      </c>
      <c r="F5" s="34"/>
    </row>
    <row r="6">
      <c r="A6" s="35" t="s">
        <v>225</v>
      </c>
      <c r="B6" s="36"/>
      <c r="C6" s="37"/>
      <c r="D6" s="35"/>
      <c r="E6" s="35"/>
      <c r="F6" s="17" t="s">
        <v>226</v>
      </c>
    </row>
    <row r="7">
      <c r="A7" s="35"/>
      <c r="B7" s="38" t="s">
        <v>227</v>
      </c>
      <c r="C7" s="37"/>
      <c r="D7" s="35"/>
      <c r="E7" s="35"/>
      <c r="F7" s="17" t="s">
        <v>228</v>
      </c>
    </row>
    <row r="8">
      <c r="A8" s="35"/>
      <c r="B8" s="39"/>
      <c r="C8" s="38" t="s">
        <v>229</v>
      </c>
      <c r="D8" s="40" t="s">
        <v>230</v>
      </c>
      <c r="E8" s="35"/>
      <c r="F8" s="17" t="s">
        <v>231</v>
      </c>
    </row>
    <row r="9">
      <c r="A9" s="35" t="s">
        <v>232</v>
      </c>
      <c r="B9" s="39"/>
      <c r="C9" s="37"/>
      <c r="D9" s="35"/>
      <c r="E9" s="35"/>
      <c r="F9" s="17" t="s">
        <v>233</v>
      </c>
    </row>
    <row r="10">
      <c r="A10" s="35"/>
      <c r="B10" s="39"/>
      <c r="C10" s="37">
        <v>11.0</v>
      </c>
      <c r="D10" s="40" t="s">
        <v>234</v>
      </c>
      <c r="E10" s="35"/>
      <c r="F10" s="17" t="s">
        <v>235</v>
      </c>
    </row>
    <row r="11">
      <c r="A11" s="35" t="s">
        <v>236</v>
      </c>
      <c r="B11" s="39"/>
      <c r="C11" s="37"/>
      <c r="D11" s="41"/>
      <c r="E11" s="35"/>
      <c r="F11" s="17" t="s">
        <v>237</v>
      </c>
    </row>
    <row r="12">
      <c r="A12" s="41"/>
      <c r="B12" s="39"/>
      <c r="C12" s="37"/>
      <c r="D12" s="35" t="s">
        <v>238</v>
      </c>
      <c r="E12" s="35"/>
      <c r="F12" s="17" t="s">
        <v>239</v>
      </c>
    </row>
    <row r="13">
      <c r="A13" s="35"/>
      <c r="B13" s="42"/>
      <c r="C13" s="43"/>
      <c r="D13" s="41"/>
      <c r="E13" s="35"/>
      <c r="F13" s="17"/>
    </row>
    <row r="14">
      <c r="A14" s="35"/>
      <c r="B14" s="42"/>
      <c r="C14" s="43"/>
      <c r="D14" s="41"/>
      <c r="E14" s="40" t="s">
        <v>240</v>
      </c>
      <c r="F14" s="17" t="s">
        <v>241</v>
      </c>
    </row>
    <row r="15">
      <c r="A15" s="41"/>
      <c r="B15" s="42"/>
      <c r="C15" s="43"/>
      <c r="D15" s="41"/>
      <c r="E15" s="35" t="s">
        <v>242</v>
      </c>
      <c r="F15" s="17" t="s">
        <v>242</v>
      </c>
    </row>
    <row r="16">
      <c r="A16" s="41"/>
      <c r="B16" s="42"/>
      <c r="C16" s="43"/>
      <c r="D16" s="41"/>
      <c r="E16" s="40" t="s">
        <v>243</v>
      </c>
      <c r="F16" s="17" t="s">
        <v>244</v>
      </c>
    </row>
    <row r="17">
      <c r="A17" s="41"/>
      <c r="B17" s="42"/>
      <c r="C17" s="43"/>
      <c r="D17" s="41"/>
      <c r="E17" s="40" t="s">
        <v>229</v>
      </c>
      <c r="F17" s="17" t="s">
        <v>245</v>
      </c>
    </row>
    <row r="18">
      <c r="A18" s="41"/>
      <c r="B18" s="42"/>
      <c r="C18" s="37"/>
      <c r="D18" s="41"/>
      <c r="E18" s="41"/>
      <c r="F18" s="17"/>
    </row>
    <row r="19">
      <c r="A19" s="41"/>
      <c r="B19" s="42"/>
      <c r="C19" s="37">
        <v>12.0</v>
      </c>
      <c r="D19" s="41"/>
      <c r="E19" s="41"/>
      <c r="F19" s="17" t="s">
        <v>246</v>
      </c>
    </row>
    <row r="20">
      <c r="A20" s="35" t="s">
        <v>247</v>
      </c>
      <c r="B20" s="39"/>
      <c r="D20" s="41"/>
      <c r="E20" s="35"/>
      <c r="F20" s="17" t="s">
        <v>248</v>
      </c>
    </row>
    <row r="21">
      <c r="A21" s="41"/>
      <c r="B21" s="39"/>
      <c r="C21" s="37"/>
      <c r="D21" s="40" t="s">
        <v>234</v>
      </c>
      <c r="E21" s="35"/>
      <c r="F21" s="17" t="s">
        <v>239</v>
      </c>
    </row>
    <row r="22">
      <c r="B22" s="40" t="s">
        <v>229</v>
      </c>
      <c r="F22" s="17" t="s">
        <v>249</v>
      </c>
    </row>
  </sheetData>
  <mergeCells count="2">
    <mergeCell ref="A1:F1"/>
    <mergeCell ref="A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44" t="s">
        <v>250</v>
      </c>
    </row>
    <row r="3">
      <c r="A3" s="33" t="s">
        <v>251</v>
      </c>
      <c r="B3" s="35" t="s">
        <v>212</v>
      </c>
    </row>
    <row r="4">
      <c r="B4" s="41"/>
    </row>
    <row r="5">
      <c r="A5" s="33" t="s">
        <v>252</v>
      </c>
      <c r="B5" s="41"/>
      <c r="C5" s="17"/>
    </row>
    <row r="6">
      <c r="A6" s="17" t="s">
        <v>253</v>
      </c>
      <c r="B6" s="35" t="s">
        <v>212</v>
      </c>
    </row>
    <row r="7">
      <c r="A7" s="17" t="s">
        <v>254</v>
      </c>
      <c r="B7" s="45" t="s">
        <v>255</v>
      </c>
      <c r="C7" s="46"/>
    </row>
    <row r="8">
      <c r="B8" s="45" t="s">
        <v>256</v>
      </c>
      <c r="C8" s="46"/>
    </row>
    <row r="9">
      <c r="A9" s="17"/>
      <c r="B9" s="45" t="s">
        <v>257</v>
      </c>
      <c r="C9" s="46"/>
    </row>
    <row r="10">
      <c r="A10" s="17" t="s">
        <v>258</v>
      </c>
      <c r="B10" s="47" t="s">
        <v>259</v>
      </c>
      <c r="C10" s="46"/>
    </row>
    <row r="11">
      <c r="B11" s="47" t="s">
        <v>260</v>
      </c>
      <c r="C11" s="46"/>
    </row>
    <row r="12">
      <c r="B12" s="47" t="s">
        <v>256</v>
      </c>
      <c r="C12" s="46"/>
    </row>
    <row r="13">
      <c r="B13" s="47" t="s">
        <v>257</v>
      </c>
      <c r="C13" s="46"/>
    </row>
    <row r="14">
      <c r="A14" s="17" t="s">
        <v>261</v>
      </c>
      <c r="B14" s="48" t="s">
        <v>259</v>
      </c>
      <c r="C14" s="46"/>
    </row>
  </sheetData>
  <mergeCells count="1">
    <mergeCell ref="A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1.63"/>
    <col customWidth="1" min="2" max="10" width="10.75"/>
  </cols>
  <sheetData>
    <row r="1">
      <c r="A1" s="44" t="s">
        <v>262</v>
      </c>
    </row>
    <row r="2">
      <c r="B2" s="14"/>
      <c r="C2" s="14"/>
      <c r="D2" s="14"/>
      <c r="E2" s="14"/>
      <c r="F2" s="14"/>
      <c r="G2" s="14"/>
      <c r="H2" s="14"/>
      <c r="I2" s="14"/>
      <c r="J2" s="14"/>
    </row>
    <row r="3">
      <c r="B3" s="14"/>
      <c r="C3" s="14"/>
      <c r="D3" s="14"/>
      <c r="E3" s="14"/>
      <c r="F3" s="14"/>
      <c r="G3" s="14"/>
      <c r="H3" s="14"/>
      <c r="I3" s="14"/>
      <c r="J3" s="14"/>
    </row>
    <row r="4">
      <c r="A4" s="17" t="s">
        <v>263</v>
      </c>
    </row>
    <row r="5" ht="17.25" customHeight="1">
      <c r="B5" s="4" t="s">
        <v>264</v>
      </c>
      <c r="C5" s="4" t="s">
        <v>265</v>
      </c>
      <c r="D5" s="4" t="s">
        <v>266</v>
      </c>
      <c r="E5" s="15" t="s">
        <v>267</v>
      </c>
      <c r="F5" s="14"/>
      <c r="G5" s="14"/>
      <c r="H5" s="14"/>
      <c r="I5" s="14"/>
      <c r="J5" s="14"/>
    </row>
    <row r="6">
      <c r="A6" s="49" t="s">
        <v>268</v>
      </c>
      <c r="B6" s="11" t="s">
        <v>269</v>
      </c>
      <c r="C6" s="14">
        <f t="shared" ref="C6:C18" si="1">HEX2DEC(B6)</f>
        <v>2000</v>
      </c>
      <c r="D6" s="14">
        <f t="shared" ref="D6:D18" si="2">2000-C6</f>
        <v>0</v>
      </c>
      <c r="E6" s="50">
        <f t="shared" ref="E6:E18" si="3">D6/4</f>
        <v>0</v>
      </c>
      <c r="F6" s="51"/>
    </row>
    <row r="7">
      <c r="A7" s="20" t="s">
        <v>270</v>
      </c>
      <c r="B7" s="11" t="s">
        <v>271</v>
      </c>
      <c r="C7" s="14">
        <f t="shared" si="1"/>
        <v>1996</v>
      </c>
      <c r="D7" s="14">
        <f t="shared" si="2"/>
        <v>4</v>
      </c>
      <c r="E7" s="50">
        <f t="shared" si="3"/>
        <v>1</v>
      </c>
      <c r="F7" s="52"/>
    </row>
    <row r="8">
      <c r="A8" s="20" t="s">
        <v>272</v>
      </c>
      <c r="B8" s="11" t="s">
        <v>273</v>
      </c>
      <c r="C8" s="14">
        <f t="shared" si="1"/>
        <v>2138</v>
      </c>
      <c r="D8" s="14">
        <f t="shared" si="2"/>
        <v>-138</v>
      </c>
      <c r="E8" s="50">
        <f t="shared" si="3"/>
        <v>-34.5</v>
      </c>
      <c r="F8" s="52"/>
    </row>
    <row r="9">
      <c r="A9" s="17" t="s">
        <v>274</v>
      </c>
      <c r="B9" s="11" t="s">
        <v>275</v>
      </c>
      <c r="C9" s="14">
        <f t="shared" si="1"/>
        <v>1998</v>
      </c>
      <c r="D9" s="14">
        <f t="shared" si="2"/>
        <v>2</v>
      </c>
      <c r="E9" s="50">
        <f t="shared" si="3"/>
        <v>0.5</v>
      </c>
      <c r="F9" s="52"/>
    </row>
    <row r="10">
      <c r="A10" s="20" t="s">
        <v>276</v>
      </c>
      <c r="B10" s="11" t="s">
        <v>277</v>
      </c>
      <c r="C10" s="14">
        <f t="shared" si="1"/>
        <v>1870</v>
      </c>
      <c r="D10" s="14">
        <f t="shared" si="2"/>
        <v>130</v>
      </c>
      <c r="E10" s="50">
        <f t="shared" si="3"/>
        <v>32.5</v>
      </c>
      <c r="F10" s="52"/>
    </row>
    <row r="11">
      <c r="A11" s="17" t="s">
        <v>278</v>
      </c>
      <c r="B11" s="11" t="s">
        <v>279</v>
      </c>
      <c r="C11" s="14">
        <f t="shared" si="1"/>
        <v>1179</v>
      </c>
      <c r="D11" s="14">
        <f t="shared" si="2"/>
        <v>821</v>
      </c>
      <c r="E11" s="50">
        <f t="shared" si="3"/>
        <v>205.25</v>
      </c>
      <c r="F11" s="51"/>
    </row>
    <row r="12">
      <c r="A12" s="17" t="s">
        <v>280</v>
      </c>
      <c r="B12" s="11" t="s">
        <v>281</v>
      </c>
      <c r="C12" s="14">
        <f t="shared" si="1"/>
        <v>2108</v>
      </c>
      <c r="D12" s="14">
        <f t="shared" si="2"/>
        <v>-108</v>
      </c>
      <c r="E12" s="50">
        <f t="shared" si="3"/>
        <v>-27</v>
      </c>
      <c r="F12" s="51"/>
    </row>
    <row r="13">
      <c r="A13" s="20" t="s">
        <v>282</v>
      </c>
      <c r="B13" s="11">
        <v>846.0</v>
      </c>
      <c r="C13" s="14">
        <f t="shared" si="1"/>
        <v>2118</v>
      </c>
      <c r="D13" s="14">
        <f t="shared" si="2"/>
        <v>-118</v>
      </c>
      <c r="E13" s="50">
        <f t="shared" si="3"/>
        <v>-29.5</v>
      </c>
      <c r="F13" s="52"/>
    </row>
    <row r="14">
      <c r="A14" s="20" t="s">
        <v>283</v>
      </c>
      <c r="B14" s="11">
        <v>841.0</v>
      </c>
      <c r="C14" s="14">
        <f t="shared" si="1"/>
        <v>2113</v>
      </c>
      <c r="D14" s="14">
        <f t="shared" si="2"/>
        <v>-113</v>
      </c>
      <c r="E14" s="50">
        <f t="shared" si="3"/>
        <v>-28.25</v>
      </c>
      <c r="F14" s="52"/>
    </row>
    <row r="15">
      <c r="A15" s="20" t="s">
        <v>284</v>
      </c>
      <c r="B15" s="11">
        <v>821.0</v>
      </c>
      <c r="C15" s="14">
        <f t="shared" si="1"/>
        <v>2081</v>
      </c>
      <c r="D15" s="14">
        <f t="shared" si="2"/>
        <v>-81</v>
      </c>
      <c r="E15" s="50">
        <f t="shared" si="3"/>
        <v>-20.25</v>
      </c>
      <c r="F15" s="52"/>
    </row>
    <row r="16">
      <c r="A16" s="20" t="s">
        <v>285</v>
      </c>
      <c r="B16" s="11">
        <v>807.0</v>
      </c>
      <c r="C16" s="14">
        <f t="shared" si="1"/>
        <v>2055</v>
      </c>
      <c r="D16" s="14">
        <f t="shared" si="2"/>
        <v>-55</v>
      </c>
      <c r="E16" s="50">
        <f t="shared" si="3"/>
        <v>-13.75</v>
      </c>
      <c r="F16" s="52"/>
    </row>
    <row r="17">
      <c r="A17" s="20" t="s">
        <v>286</v>
      </c>
      <c r="B17" s="11" t="s">
        <v>287</v>
      </c>
      <c r="C17" s="14">
        <f t="shared" si="1"/>
        <v>2033</v>
      </c>
      <c r="D17" s="14">
        <f t="shared" si="2"/>
        <v>-33</v>
      </c>
      <c r="E17" s="50">
        <f t="shared" si="3"/>
        <v>-8.25</v>
      </c>
      <c r="F17" s="52"/>
    </row>
    <row r="18">
      <c r="A18" s="17" t="s">
        <v>288</v>
      </c>
      <c r="B18" s="11" t="s">
        <v>269</v>
      </c>
      <c r="C18" s="14">
        <f t="shared" si="1"/>
        <v>2000</v>
      </c>
      <c r="D18" s="14">
        <f t="shared" si="2"/>
        <v>0</v>
      </c>
      <c r="E18" s="50">
        <f t="shared" si="3"/>
        <v>0</v>
      </c>
      <c r="F18" s="52"/>
    </row>
    <row r="19">
      <c r="B19" s="14"/>
      <c r="C19" s="14"/>
      <c r="D19" s="14"/>
      <c r="E19" s="14"/>
      <c r="F19" s="52"/>
      <c r="G19" s="52"/>
      <c r="H19" s="52"/>
      <c r="I19" s="52"/>
      <c r="J19" s="52"/>
    </row>
    <row r="20">
      <c r="B20" s="14"/>
      <c r="C20" s="14"/>
      <c r="D20" s="14"/>
      <c r="E20" s="14"/>
      <c r="F20" s="52"/>
      <c r="G20" s="52"/>
      <c r="H20" s="52"/>
      <c r="I20" s="52"/>
      <c r="J20" s="52"/>
    </row>
  </sheetData>
  <mergeCells count="15">
    <mergeCell ref="F11:J11"/>
    <mergeCell ref="F12:J12"/>
    <mergeCell ref="F13:J13"/>
    <mergeCell ref="F14:J14"/>
    <mergeCell ref="F15:J15"/>
    <mergeCell ref="F16:J16"/>
    <mergeCell ref="F17:J17"/>
    <mergeCell ref="F18:J18"/>
    <mergeCell ref="A1:J1"/>
    <mergeCell ref="A4:J4"/>
    <mergeCell ref="F6:J6"/>
    <mergeCell ref="F7:J7"/>
    <mergeCell ref="F8:J8"/>
    <mergeCell ref="F9:J9"/>
    <mergeCell ref="F10:J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4.75"/>
    <col customWidth="1" min="2" max="2" width="13.88"/>
    <col customWidth="1" min="3" max="3" width="76.88"/>
    <col customWidth="1" min="4" max="6" width="10.75"/>
  </cols>
  <sheetData>
    <row r="1">
      <c r="A1" s="44" t="s">
        <v>289</v>
      </c>
    </row>
    <row r="3">
      <c r="A3" s="17" t="s">
        <v>290</v>
      </c>
      <c r="B3" s="20" t="s">
        <v>291</v>
      </c>
      <c r="C3" s="20" t="s">
        <v>292</v>
      </c>
    </row>
    <row r="4">
      <c r="B4" s="20" t="s">
        <v>293</v>
      </c>
      <c r="C4" s="20" t="s">
        <v>294</v>
      </c>
    </row>
    <row r="7">
      <c r="A7" s="20" t="s">
        <v>295</v>
      </c>
      <c r="B7" s="20" t="s">
        <v>296</v>
      </c>
      <c r="C7" s="20" t="s">
        <v>297</v>
      </c>
    </row>
    <row r="8">
      <c r="B8" s="20" t="s">
        <v>291</v>
      </c>
      <c r="C8" s="20" t="s">
        <v>298</v>
      </c>
    </row>
    <row r="9">
      <c r="B9" s="20" t="s">
        <v>293</v>
      </c>
      <c r="C9" s="20" t="s">
        <v>299</v>
      </c>
    </row>
    <row r="10">
      <c r="B10" s="20" t="s">
        <v>300</v>
      </c>
      <c r="C10" s="20" t="s">
        <v>301</v>
      </c>
    </row>
    <row r="11">
      <c r="C11" s="20" t="s">
        <v>302</v>
      </c>
    </row>
    <row r="13">
      <c r="B13" s="20" t="s">
        <v>303</v>
      </c>
      <c r="C13" s="20" t="s">
        <v>304</v>
      </c>
    </row>
    <row r="14">
      <c r="C14" s="20" t="s">
        <v>305</v>
      </c>
    </row>
    <row r="15">
      <c r="C15" s="20" t="s">
        <v>306</v>
      </c>
    </row>
    <row r="16">
      <c r="C16" s="20" t="s">
        <v>307</v>
      </c>
    </row>
    <row r="17">
      <c r="C17" s="20" t="s">
        <v>308</v>
      </c>
    </row>
    <row r="18">
      <c r="C18" s="20" t="s">
        <v>309</v>
      </c>
    </row>
    <row r="19">
      <c r="C19" s="20" t="s">
        <v>310</v>
      </c>
    </row>
    <row r="21">
      <c r="B21" s="20" t="s">
        <v>311</v>
      </c>
      <c r="C21" s="20" t="s">
        <v>312</v>
      </c>
    </row>
    <row r="22">
      <c r="B22" s="20" t="s">
        <v>313</v>
      </c>
      <c r="C22" s="20" t="s">
        <v>314</v>
      </c>
    </row>
    <row r="23">
      <c r="B23" s="20" t="s">
        <v>315</v>
      </c>
      <c r="C23" s="20" t="s">
        <v>312</v>
      </c>
    </row>
    <row r="24">
      <c r="B24" s="20" t="s">
        <v>316</v>
      </c>
      <c r="C24" s="20" t="s">
        <v>317</v>
      </c>
    </row>
    <row r="27">
      <c r="A27" s="53" t="s">
        <v>318</v>
      </c>
      <c r="B27" s="53" t="s">
        <v>319</v>
      </c>
      <c r="C27" s="53" t="s">
        <v>320</v>
      </c>
    </row>
    <row r="28">
      <c r="A28" s="24"/>
      <c r="B28" s="53" t="s">
        <v>321</v>
      </c>
      <c r="C28" s="53" t="s">
        <v>322</v>
      </c>
    </row>
    <row r="29">
      <c r="A29" s="24"/>
      <c r="B29" s="24"/>
      <c r="C29" s="24"/>
    </row>
    <row r="30">
      <c r="A30" s="24"/>
      <c r="B30" s="53" t="s">
        <v>323</v>
      </c>
      <c r="C30" s="53" t="s">
        <v>324</v>
      </c>
    </row>
  </sheetData>
  <mergeCells count="1">
    <mergeCell ref="A1:F1"/>
  </mergeCells>
  <drawing r:id="rId1"/>
</worksheet>
</file>